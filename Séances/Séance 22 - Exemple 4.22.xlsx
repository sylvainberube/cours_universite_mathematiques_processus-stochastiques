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A Sylvain Bérubé\A-4 Enseignement\Université de Sherbrooke\Cours\2024-05 STT489\Séances\"/>
    </mc:Choice>
  </mc:AlternateContent>
  <xr:revisionPtr revIDLastSave="0" documentId="13_ncr:1_{F86147A5-4EEA-49F2-8EB1-E97919B93F11}" xr6:coauthVersionLast="47" xr6:coauthVersionMax="47" xr10:uidLastSave="{00000000-0000-0000-0000-000000000000}"/>
  <bookViews>
    <workbookView xWindow="-120" yWindow="-120" windowWidth="29040" windowHeight="16440" xr2:uid="{A056FD43-28A4-4B7E-90AC-1EE7E7312389}"/>
  </bookViews>
  <sheets>
    <sheet name="Ex 4.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A7" i="1"/>
  <c r="A8" i="1" s="1"/>
  <c r="A9" i="1" s="1"/>
  <c r="A10" i="1" s="1"/>
  <c r="A11" i="1" s="1"/>
  <c r="A12" i="1" s="1"/>
  <c r="A13" i="1" s="1"/>
  <c r="A14" i="1" s="1"/>
  <c r="A6" i="1"/>
  <c r="D5" i="1" l="1"/>
  <c r="D10" i="1" l="1"/>
  <c r="E10" i="1" s="1"/>
  <c r="D9" i="1"/>
  <c r="E9" i="1" s="1"/>
  <c r="E5" i="1"/>
  <c r="D8" i="1"/>
  <c r="E8" i="1" s="1"/>
  <c r="D7" i="1"/>
  <c r="E7" i="1" s="1"/>
  <c r="D14" i="1"/>
  <c r="E14" i="1" s="1"/>
  <c r="D6" i="1"/>
  <c r="E6" i="1" s="1"/>
  <c r="D13" i="1"/>
  <c r="E13" i="1" s="1"/>
  <c r="D12" i="1"/>
  <c r="E12" i="1" s="1"/>
  <c r="D11" i="1"/>
  <c r="E11" i="1" s="1"/>
  <c r="D15" i="1" l="1"/>
  <c r="E15" i="1"/>
</calcChain>
</file>

<file path=xl/sharedStrings.xml><?xml version="1.0" encoding="utf-8"?>
<sst xmlns="http://schemas.openxmlformats.org/spreadsheetml/2006/main" count="14" uniqueCount="14">
  <si>
    <t>M</t>
  </si>
  <si>
    <t>lambda</t>
  </si>
  <si>
    <t>mu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</si>
  <si>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</si>
  <si>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</si>
  <si>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</si>
  <si>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</si>
  <si>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</si>
  <si>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</si>
  <si>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</si>
  <si>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</si>
  <si>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</si>
  <si>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</si>
  <si>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a) Espérance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</si>
</sst>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4" x14ac:knownFonts="1">
    <font>
      <sz val="12"/>
      <color theme="1"/>
      <name val="Cambria"/>
      <family val="2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2"/>
      <color theme="0" tint="-4.9989318521683403E-2"/>
      <name val="Cambri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/>
    <xf numFmtId="0" fontId="2" fillId="0" borderId="1" xfId="0" applyFont="1" applyBorder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117D-20D7-46FB-8BB9-646A03778DFF}">
  <dimension ref="A1:E15"/>
  <sheetViews>
    <sheetView tabSelected="1" zoomScale="160" zoomScaleNormal="160" workbookViewId="0"/>
  </sheetViews>
  <sheetFormatPr baseColWidth="10" defaultRowHeight="15.75" x14ac:dyDescent="0.25"/>
  <cols>
    <col min="2" max="2" width="6.109375" customWidth="1"/>
    <col min="3" max="3" width="5" customWidth="1"/>
    <col min="4" max="4" width="7.33203125" bestFit="1" customWidth="1"/>
  </cols>
  <sheetData>
    <row r="1" spans="1:5" x14ac:dyDescent="0.25">
      <c r="A1" s="4" t="s">
        <v>0</v>
      </c>
      <c r="B1" s="5">
        <v>9</v>
      </c>
    </row>
    <row r="2" spans="1:5" x14ac:dyDescent="0.25">
      <c r="A2" s="4" t="s">
        <v>1</v>
      </c>
      <c r="B2" s="5">
        <v>0.1</v>
      </c>
    </row>
    <row r="3" spans="1:5" x14ac:dyDescent="0.25">
      <c r="A3" s="4" t="s">
        <v>2</v>
      </c>
      <c r="B3" s="5">
        <v>0.2</v>
      </c>
    </row>
    <row r="4" spans="1:5" x14ac:dyDescent="0.25">
      <c r="E4" t="s">
        <v>13</v>
      </c>
    </row>
    <row r="5" spans="1:5" x14ac:dyDescent="0.25">
      <c r="A5">
        <v>0</v>
      </c>
      <c r="C5" s="3" t="s">
        <v>3</v>
      </c>
      <c r="D5" s="2">
        <f>1/(1+SUM(B6:B14))</f>
        <v>1.9095813242946485E-4</v>
      </c>
      <c r="E5" s="6">
        <f>A5*D5</f>
        <v>0</v>
      </c>
    </row>
    <row r="6" spans="1:5" x14ac:dyDescent="0.25">
      <c r="A6">
        <f>A5+1</f>
        <v>1</v>
      </c>
      <c r="B6">
        <f>(B$2/B$3)^A6*FACT(B$1)/FACT(B$1-A6)</f>
        <v>4.5</v>
      </c>
      <c r="C6" s="3" t="s">
        <v>4</v>
      </c>
      <c r="D6" s="2">
        <f>D$5*(B$2/B$3)^A6*FACT(B$1)/FACT(B$1-A6)</f>
        <v>8.5931159593259177E-4</v>
      </c>
      <c r="E6" s="6">
        <f t="shared" ref="E6:E14" si="0">A6*D6</f>
        <v>8.5931159593259177E-4</v>
      </c>
    </row>
    <row r="7" spans="1:5" x14ac:dyDescent="0.25">
      <c r="A7">
        <f t="shared" ref="A7:A14" si="1">A6+1</f>
        <v>2</v>
      </c>
      <c r="B7">
        <f t="shared" ref="B7:B14" si="2">(B$2/B$3)^A7*FACT(B$1)/FACT(B$1-A7)</f>
        <v>18</v>
      </c>
      <c r="C7" s="3" t="s">
        <v>5</v>
      </c>
      <c r="D7" s="2">
        <f t="shared" ref="D7:D14" si="3">D$5*(B$2/B$3)^A7*FACT(B$1)/FACT(B$1-A7)</f>
        <v>3.4372463837303671E-3</v>
      </c>
      <c r="E7" s="6">
        <f t="shared" si="0"/>
        <v>6.8744927674607341E-3</v>
      </c>
    </row>
    <row r="8" spans="1:5" x14ac:dyDescent="0.25">
      <c r="A8">
        <f t="shared" si="1"/>
        <v>3</v>
      </c>
      <c r="B8">
        <f t="shared" si="2"/>
        <v>63</v>
      </c>
      <c r="C8" s="3" t="s">
        <v>6</v>
      </c>
      <c r="D8" s="2">
        <f t="shared" si="3"/>
        <v>1.2030362343056286E-2</v>
      </c>
      <c r="E8" s="6">
        <f t="shared" si="0"/>
        <v>3.6091087029168856E-2</v>
      </c>
    </row>
    <row r="9" spans="1:5" x14ac:dyDescent="0.25">
      <c r="A9">
        <f t="shared" si="1"/>
        <v>4</v>
      </c>
      <c r="B9">
        <f t="shared" si="2"/>
        <v>189</v>
      </c>
      <c r="C9" s="3" t="s">
        <v>7</v>
      </c>
      <c r="D9" s="2">
        <f t="shared" si="3"/>
        <v>3.6091087029168856E-2</v>
      </c>
      <c r="E9" s="6">
        <f t="shared" si="0"/>
        <v>0.14436434811667542</v>
      </c>
    </row>
    <row r="10" spans="1:5" x14ac:dyDescent="0.25">
      <c r="A10">
        <f t="shared" si="1"/>
        <v>5</v>
      </c>
      <c r="B10">
        <f t="shared" si="2"/>
        <v>472.5</v>
      </c>
      <c r="C10" s="3" t="s">
        <v>8</v>
      </c>
      <c r="D10" s="2">
        <f t="shared" si="3"/>
        <v>9.0227717572922139E-2</v>
      </c>
      <c r="E10" s="6">
        <f t="shared" si="0"/>
        <v>0.4511385878646107</v>
      </c>
    </row>
    <row r="11" spans="1:5" x14ac:dyDescent="0.25">
      <c r="A11">
        <f t="shared" si="1"/>
        <v>6</v>
      </c>
      <c r="B11">
        <f t="shared" si="2"/>
        <v>945</v>
      </c>
      <c r="C11" s="3" t="s">
        <v>9</v>
      </c>
      <c r="D11" s="2">
        <f t="shared" si="3"/>
        <v>0.18045543514584428</v>
      </c>
      <c r="E11" s="6">
        <f t="shared" si="0"/>
        <v>1.0827326108750657</v>
      </c>
    </row>
    <row r="12" spans="1:5" x14ac:dyDescent="0.25">
      <c r="A12">
        <f t="shared" si="1"/>
        <v>7</v>
      </c>
      <c r="B12">
        <f t="shared" si="2"/>
        <v>1417.5</v>
      </c>
      <c r="C12" s="3" t="s">
        <v>10</v>
      </c>
      <c r="D12" s="2">
        <f t="shared" si="3"/>
        <v>0.27068315271876642</v>
      </c>
      <c r="E12" s="6">
        <f t="shared" si="0"/>
        <v>1.8947820690313648</v>
      </c>
    </row>
    <row r="13" spans="1:5" x14ac:dyDescent="0.25">
      <c r="A13">
        <f t="shared" si="1"/>
        <v>8</v>
      </c>
      <c r="B13">
        <f t="shared" si="2"/>
        <v>1417.5</v>
      </c>
      <c r="C13" s="3" t="s">
        <v>11</v>
      </c>
      <c r="D13" s="2">
        <f t="shared" si="3"/>
        <v>0.27068315271876642</v>
      </c>
      <c r="E13" s="6">
        <f t="shared" si="0"/>
        <v>2.1654652217501313</v>
      </c>
    </row>
    <row r="14" spans="1:5" x14ac:dyDescent="0.25">
      <c r="A14">
        <f t="shared" si="1"/>
        <v>9</v>
      </c>
      <c r="B14">
        <f t="shared" si="2"/>
        <v>708.75</v>
      </c>
      <c r="C14" s="3" t="s">
        <v>12</v>
      </c>
      <c r="D14" s="2">
        <f t="shared" si="3"/>
        <v>0.13534157635938321</v>
      </c>
      <c r="E14" s="6">
        <f t="shared" si="0"/>
        <v>1.2180741872344489</v>
      </c>
    </row>
    <row r="15" spans="1:5" x14ac:dyDescent="0.25">
      <c r="D15" s="1">
        <f>SUM(D5:D14)</f>
        <v>1</v>
      </c>
      <c r="E15" s="6">
        <f>SUM(E5:E14)</f>
        <v>7.0003819162648595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 4.22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Bérubé</dc:creator>
  <cp:lastModifiedBy>Sylvain Bérubé</cp:lastModifiedBy>
  <dcterms:created xsi:type="dcterms:W3CDTF">2021-07-14T14:50:08Z</dcterms:created>
  <dcterms:modified xsi:type="dcterms:W3CDTF">2024-07-09T01:23:54Z</dcterms:modified>
</cp:coreProperties>
</file>