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ers3101\Dropbox\A Sylvain Bérubé\A-4 Enseignement\Université de Sherbrooke\Cours\2024-05 STT489\Évaluations\Devoir 1\"/>
    </mc:Choice>
  </mc:AlternateContent>
  <xr:revisionPtr revIDLastSave="0" documentId="13_ncr:1_{A3F858C0-D784-4EBB-BC76-3381F13A23C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Q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G2" i="1" s="1"/>
  <c r="E7" i="1"/>
  <c r="E6" i="1"/>
  <c r="E5" i="1"/>
  <c r="K5" i="1"/>
  <c r="J7" i="1"/>
  <c r="J6" i="1"/>
  <c r="J5" i="1"/>
  <c r="I7" i="1"/>
  <c r="I6" i="1"/>
  <c r="I5" i="1"/>
  <c r="D25" i="1"/>
  <c r="H9" i="1"/>
  <c r="H8" i="1"/>
  <c r="H7" i="1"/>
  <c r="H6" i="1"/>
  <c r="F4" i="1"/>
  <c r="F3" i="1"/>
  <c r="F2" i="1"/>
  <c r="E4" i="1"/>
  <c r="E3" i="1"/>
  <c r="E2" i="1"/>
  <c r="E19" i="1"/>
  <c r="D19" i="1"/>
  <c r="C19" i="1"/>
  <c r="B19" i="1"/>
  <c r="D13" i="1"/>
  <c r="D11" i="1"/>
  <c r="D12" i="1"/>
  <c r="D10" i="1"/>
  <c r="D9" i="1"/>
  <c r="D7" i="1"/>
  <c r="D6" i="1"/>
  <c r="D4" i="1"/>
  <c r="D3" i="1"/>
  <c r="D2" i="1"/>
</calcChain>
</file>

<file path=xl/sharedStrings.xml><?xml version="1.0" encoding="utf-8"?>
<sst xmlns="http://schemas.openxmlformats.org/spreadsheetml/2006/main" count="8" uniqueCount="8">
  <si>
    <t>X</t>
  </si>
  <si>
    <t>Y</t>
  </si>
  <si>
    <t>Z</t>
  </si>
  <si>
    <t>Prob</t>
  </si>
  <si>
    <t>Prob(Z=z)</t>
  </si>
  <si>
    <t>z</t>
  </si>
  <si>
    <t>Total</t>
  </si>
  <si>
    <t>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</si>
</sst>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8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="265" zoomScaleNormal="265" workbookViewId="0">
      <selection activeCell="E13" sqref="E13"/>
    </sheetView>
  </sheetViews>
  <sheetFormatPr baseColWidth="10" defaultColWidth="9.140625" defaultRowHeight="14.25" x14ac:dyDescent="0.2"/>
  <cols>
    <col min="1" max="1" width="15" style="1" bestFit="1" customWidth="1"/>
    <col min="2" max="2" width="23.85546875" style="1" bestFit="1" customWidth="1"/>
    <col min="3" max="4" width="12.7109375" style="1" bestFit="1" customWidth="1"/>
    <col min="5" max="5" width="12.5703125" style="1" bestFit="1" customWidth="1"/>
    <col min="6" max="16384" width="9.140625" style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1" x14ac:dyDescent="0.2">
      <c r="A2" s="1">
        <v>1</v>
      </c>
      <c r="B2" s="1">
        <v>1</v>
      </c>
      <c r="C2" s="1">
        <v>1</v>
      </c>
      <c r="D2" s="1">
        <f>1/10</f>
        <v>0.1</v>
      </c>
      <c r="E2" s="1">
        <f>D2/SUM(D$2:D$7)</f>
        <v>0.32</v>
      </c>
      <c r="F2" s="1">
        <f>E2*C2</f>
        <v>0.32</v>
      </c>
      <c r="G2" s="1">
        <f>SUM(F2:F7)</f>
        <v>3.9333333333333331</v>
      </c>
    </row>
    <row r="3" spans="1:11" x14ac:dyDescent="0.2">
      <c r="A3" s="1">
        <v>1</v>
      </c>
      <c r="B3" s="1">
        <v>1</v>
      </c>
      <c r="C3" s="1">
        <v>2</v>
      </c>
      <c r="D3" s="1">
        <f>1/20</f>
        <v>0.05</v>
      </c>
      <c r="E3" s="1">
        <f t="shared" ref="E3:E7" si="0">D3/SUM(D$2:D$7)</f>
        <v>0.16</v>
      </c>
      <c r="F3" s="1">
        <f t="shared" ref="F3:F7" si="1">E3*C3</f>
        <v>0.32</v>
      </c>
    </row>
    <row r="4" spans="1:11" x14ac:dyDescent="0.2">
      <c r="A4" s="1">
        <v>1</v>
      </c>
      <c r="B4" s="1">
        <v>1</v>
      </c>
      <c r="C4" s="1">
        <v>3</v>
      </c>
      <c r="D4" s="1">
        <f>1/10</f>
        <v>0.1</v>
      </c>
      <c r="E4" s="1">
        <f t="shared" si="0"/>
        <v>0.32</v>
      </c>
      <c r="F4" s="1">
        <f t="shared" si="1"/>
        <v>0.96</v>
      </c>
    </row>
    <row r="5" spans="1:11" x14ac:dyDescent="0.2">
      <c r="A5" s="1">
        <v>1</v>
      </c>
      <c r="B5" s="1">
        <v>2</v>
      </c>
      <c r="C5" s="1">
        <v>1</v>
      </c>
      <c r="D5" s="1">
        <v>0</v>
      </c>
      <c r="E5" s="1">
        <f>D5*C5</f>
        <v>0</v>
      </c>
      <c r="F5" s="1">
        <f>SUM(E5:E7)/SUM(D5:D7)</f>
        <v>2.333333333333333</v>
      </c>
      <c r="I5" s="1">
        <f>C5*D5</f>
        <v>0</v>
      </c>
      <c r="J5" s="1">
        <f>I5/SUM(D5:D7)</f>
        <v>0</v>
      </c>
      <c r="K5" s="1">
        <f>SUM(J5:J7)</f>
        <v>1.7619047619047619</v>
      </c>
    </row>
    <row r="6" spans="1:11" x14ac:dyDescent="0.2">
      <c r="A6" s="1">
        <v>1</v>
      </c>
      <c r="B6" s="1">
        <v>2</v>
      </c>
      <c r="C6" s="1">
        <v>2</v>
      </c>
      <c r="D6" s="1">
        <f>1/24</f>
        <v>4.1666666666666664E-2</v>
      </c>
      <c r="E6" s="1">
        <f t="shared" ref="E6:E7" si="2">D6*C6</f>
        <v>8.3333333333333329E-2</v>
      </c>
      <c r="H6" s="1">
        <f>(1/10)/(5/16)</f>
        <v>0.32</v>
      </c>
      <c r="I6" s="1">
        <f t="shared" ref="I6:I7" si="3">C6*D6</f>
        <v>8.3333333333333329E-2</v>
      </c>
      <c r="J6" s="1">
        <f t="shared" ref="J6:J7" si="4">I6/SUM(D6:D8)</f>
        <v>1.3333333333333333</v>
      </c>
    </row>
    <row r="7" spans="1:11" x14ac:dyDescent="0.2">
      <c r="A7" s="1">
        <v>1</v>
      </c>
      <c r="B7" s="1">
        <v>2</v>
      </c>
      <c r="C7" s="1">
        <v>3</v>
      </c>
      <c r="D7" s="1">
        <f>1/48</f>
        <v>2.0833333333333332E-2</v>
      </c>
      <c r="E7" s="1">
        <f t="shared" si="2"/>
        <v>6.25E-2</v>
      </c>
      <c r="H7" s="1">
        <f>24+44+3*29</f>
        <v>155</v>
      </c>
      <c r="I7" s="1">
        <f t="shared" si="3"/>
        <v>6.25E-2</v>
      </c>
      <c r="J7" s="1">
        <f t="shared" si="4"/>
        <v>0.42857142857142855</v>
      </c>
    </row>
    <row r="8" spans="1:11" x14ac:dyDescent="0.2">
      <c r="A8" s="1">
        <v>2</v>
      </c>
      <c r="B8" s="1">
        <v>1</v>
      </c>
      <c r="C8" s="1">
        <v>1</v>
      </c>
      <c r="D8" s="1">
        <v>0</v>
      </c>
      <c r="H8" s="1">
        <f>H7/75</f>
        <v>2.0666666666666669</v>
      </c>
    </row>
    <row r="9" spans="1:11" x14ac:dyDescent="0.2">
      <c r="A9" s="1">
        <v>2</v>
      </c>
      <c r="B9" s="1">
        <v>1</v>
      </c>
      <c r="C9" s="1">
        <v>2</v>
      </c>
      <c r="D9" s="1">
        <f>1/8</f>
        <v>0.125</v>
      </c>
      <c r="H9" s="1">
        <f>155/75</f>
        <v>2.0666666666666669</v>
      </c>
    </row>
    <row r="10" spans="1:11" x14ac:dyDescent="0.2">
      <c r="A10" s="1">
        <v>2</v>
      </c>
      <c r="B10" s="1">
        <v>1</v>
      </c>
      <c r="C10" s="1">
        <v>3</v>
      </c>
      <c r="D10" s="1">
        <f>1/8</f>
        <v>0.125</v>
      </c>
    </row>
    <row r="11" spans="1:11" x14ac:dyDescent="0.2">
      <c r="A11" s="1">
        <v>2</v>
      </c>
      <c r="B11" s="1">
        <v>2</v>
      </c>
      <c r="C11" s="1">
        <v>1</v>
      </c>
      <c r="D11" s="1">
        <f>1/4</f>
        <v>0.25</v>
      </c>
    </row>
    <row r="12" spans="1:11" x14ac:dyDescent="0.2">
      <c r="A12" s="1">
        <v>2</v>
      </c>
      <c r="B12" s="1">
        <v>2</v>
      </c>
      <c r="C12" s="1">
        <v>2</v>
      </c>
      <c r="D12" s="1">
        <f>1/8</f>
        <v>0.125</v>
      </c>
    </row>
    <row r="13" spans="1:11" x14ac:dyDescent="0.2">
      <c r="A13" s="1">
        <v>2</v>
      </c>
      <c r="B13" s="1">
        <v>2</v>
      </c>
      <c r="C13" s="1">
        <v>3</v>
      </c>
      <c r="D13" s="1">
        <f>1/16</f>
        <v>6.25E-2</v>
      </c>
    </row>
    <row r="16" spans="1:11" x14ac:dyDescent="0.2">
      <c r="A16" s="3" t="s">
        <v>7</v>
      </c>
    </row>
    <row r="17" spans="1:5" x14ac:dyDescent="0.2">
      <c r="A17" s="1" t="s">
        <v>5</v>
      </c>
      <c r="B17" s="1">
        <v>1</v>
      </c>
      <c r="C17" s="1">
        <v>2</v>
      </c>
      <c r="D17" s="1">
        <v>3</v>
      </c>
      <c r="E17" s="1" t="s">
        <v>6</v>
      </c>
    </row>
    <row r="18" spans="1:5" x14ac:dyDescent="0.2">
      <c r="A18" s="1" t="s">
        <v>4</v>
      </c>
      <c r="B18" s="2">
        <v>0.35</v>
      </c>
      <c r="C18" s="2">
        <v>0.34166666666666667</v>
      </c>
      <c r="D18" s="2">
        <v>0.30833333333333335</v>
      </c>
      <c r="E18" s="1">
        <v>1</v>
      </c>
    </row>
    <row r="19" spans="1:5" x14ac:dyDescent="0.2">
      <c r="B19" s="1">
        <f>B17*B18</f>
        <v>0.35</v>
      </c>
      <c r="C19" s="1">
        <f t="shared" ref="C19:D19" si="5">C17*C18</f>
        <v>0.68333333333333335</v>
      </c>
      <c r="D19" s="1">
        <f t="shared" si="5"/>
        <v>0.92500000000000004</v>
      </c>
      <c r="E19" s="1">
        <f>SUM(B19:D19)</f>
        <v>1.9583333333333333</v>
      </c>
    </row>
    <row r="25" spans="1:5" x14ac:dyDescent="0.2">
      <c r="D25" s="1">
        <f>1/16</f>
        <v>6.25E-2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Bérubé</dc:creator>
  <cp:lastModifiedBy>Sylvain Bérubé</cp:lastModifiedBy>
  <dcterms:created xsi:type="dcterms:W3CDTF">2015-06-05T18:17:20Z</dcterms:created>
  <dcterms:modified xsi:type="dcterms:W3CDTF">2024-05-02T19:50:40Z</dcterms:modified>
</cp:coreProperties>
</file>