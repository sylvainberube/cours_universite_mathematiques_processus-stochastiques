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1-05 STT489\Évaluations\Devoir 2\"/>
    </mc:Choice>
  </mc:AlternateContent>
  <xr:revisionPtr revIDLastSave="0" documentId="13_ncr:1_{720BBC66-F822-4EC7-B7B5-DBE87F69C577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2" i="1" l="1" a="1"/>
  <c r="C102" i="1" s="1"/>
  <c r="C92" i="1" a="1"/>
  <c r="C92" i="1" s="1"/>
  <c r="C82" i="1" a="1"/>
  <c r="C82" i="1" s="1"/>
  <c r="J9" i="1"/>
  <c r="K10" i="1"/>
  <c r="C12" i="1" s="1" a="1"/>
  <c r="C12" i="1" s="1"/>
  <c r="C22" i="1" s="1" a="1"/>
  <c r="C22" i="1" s="1"/>
  <c r="C32" i="1" s="1" a="1"/>
  <c r="C32" i="1" s="1"/>
  <c r="C42" i="1" s="1" a="1"/>
  <c r="C42" i="1" s="1"/>
  <c r="C52" i="1" s="1" a="1"/>
  <c r="C52" i="1" s="1"/>
  <c r="C62" i="1" s="1" a="1"/>
  <c r="C62" i="1" s="1"/>
  <c r="C72" i="1" s="1" a="1"/>
  <c r="C72" i="1" s="1"/>
  <c r="I9" i="1"/>
  <c r="J8" i="1"/>
  <c r="I8" i="1"/>
  <c r="H8" i="1"/>
  <c r="J7" i="1"/>
  <c r="I7" i="1"/>
  <c r="H7" i="1"/>
  <c r="G7" i="1"/>
  <c r="K7" i="1" s="1"/>
  <c r="J6" i="1"/>
  <c r="I6" i="1"/>
  <c r="H6" i="1"/>
  <c r="G6" i="1"/>
  <c r="F6" i="1"/>
  <c r="K6" i="1" s="1"/>
  <c r="J5" i="1"/>
  <c r="I5" i="1"/>
  <c r="H5" i="1"/>
  <c r="G5" i="1"/>
  <c r="F5" i="1"/>
  <c r="K5" i="1" s="1"/>
  <c r="E5" i="1"/>
  <c r="J4" i="1"/>
  <c r="I4" i="1"/>
  <c r="H4" i="1"/>
  <c r="G4" i="1"/>
  <c r="F4" i="1"/>
  <c r="E4" i="1"/>
  <c r="D4" i="1"/>
  <c r="J3" i="1"/>
  <c r="I3" i="1"/>
  <c r="H3" i="1"/>
  <c r="G3" i="1"/>
  <c r="F3" i="1"/>
  <c r="E3" i="1"/>
  <c r="D3" i="1"/>
  <c r="C3" i="1"/>
  <c r="K8" i="1"/>
  <c r="K4" i="1"/>
  <c r="K2" i="1"/>
  <c r="J2" i="1"/>
  <c r="I2" i="1"/>
  <c r="H2" i="1"/>
  <c r="G2" i="1"/>
  <c r="F2" i="1"/>
  <c r="E2" i="1"/>
  <c r="D2" i="1"/>
  <c r="C2" i="1"/>
  <c r="K9" i="1" l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tabSelected="1" topLeftCell="A97" zoomScale="130" zoomScaleNormal="130" workbookViewId="0">
      <selection activeCell="A102" sqref="A102"/>
    </sheetView>
  </sheetViews>
  <sheetFormatPr baseColWidth="10" defaultColWidth="7" defaultRowHeight="21.75" customHeight="1" x14ac:dyDescent="0.25"/>
  <cols>
    <col min="1" max="2" width="7" style="1"/>
    <col min="3" max="11" width="8.140625" style="1" bestFit="1" customWidth="1"/>
    <col min="12" max="16384" width="7" style="1"/>
  </cols>
  <sheetData>
    <row r="1" spans="1:11" ht="21.75" customHeight="1" x14ac:dyDescent="0.25">
      <c r="C1" s="4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</row>
    <row r="2" spans="1:11" ht="21.75" customHeight="1" x14ac:dyDescent="0.25">
      <c r="A2" s="1">
        <v>1</v>
      </c>
      <c r="B2" s="4">
        <v>0</v>
      </c>
      <c r="C2" s="3">
        <f>_xlfn.POISSON.DIST(0,1,0)+_xlfn.POISSON.DIST(1,1,0)</f>
        <v>0.73575888234288467</v>
      </c>
      <c r="D2" s="3">
        <f>_xlfn.POISSON.DIST(D$1-$B2+1,1,0)</f>
        <v>0.18393972058572114</v>
      </c>
      <c r="E2" s="3">
        <f>_xlfn.POISSON.DIST(E$1-$B2+1,1,0)</f>
        <v>6.1313240195240391E-2</v>
      </c>
      <c r="F2" s="3">
        <f>_xlfn.POISSON.DIST(F$1-$B2+1,1,0)</f>
        <v>1.5328310048810094E-2</v>
      </c>
      <c r="G2" s="3">
        <f>_xlfn.POISSON.DIST(G$1-$B2+1,1,0)</f>
        <v>3.06566200976202E-3</v>
      </c>
      <c r="H2" s="3">
        <f>_xlfn.POISSON.DIST(H$1-$B2+1,1,0)</f>
        <v>5.1094366829366978E-4</v>
      </c>
      <c r="I2" s="3">
        <f>_xlfn.POISSON.DIST(I$1-$B2+1,1,0)</f>
        <v>7.2991952613381521E-5</v>
      </c>
      <c r="J2" s="3">
        <f>_xlfn.POISSON.DIST(J$1-$B2+1,1,0)</f>
        <v>9.1239940766726546E-6</v>
      </c>
      <c r="K2" s="3">
        <f>1-SUM(C2:J2)</f>
        <v>1.1252025979846536E-6</v>
      </c>
    </row>
    <row r="3" spans="1:11" ht="21.75" customHeight="1" x14ac:dyDescent="0.25">
      <c r="B3" s="4">
        <v>1</v>
      </c>
      <c r="C3" s="3">
        <f>_xlfn.POISSON.DIST(C$1-$B3+1,1,0)</f>
        <v>0.36787944117144233</v>
      </c>
      <c r="D3" s="3">
        <f>_xlfn.POISSON.DIST(D$1-$B3+1,1,0)</f>
        <v>0.36787944117144233</v>
      </c>
      <c r="E3" s="3">
        <f>_xlfn.POISSON.DIST(E$1-$B3+1,1,0)</f>
        <v>0.18393972058572114</v>
      </c>
      <c r="F3" s="3">
        <f>_xlfn.POISSON.DIST(F$1-$B3+1,1,0)</f>
        <v>6.1313240195240391E-2</v>
      </c>
      <c r="G3" s="3">
        <f>_xlfn.POISSON.DIST(G$1-$B3+1,1,0)</f>
        <v>1.5328310048810094E-2</v>
      </c>
      <c r="H3" s="3">
        <f>_xlfn.POISSON.DIST(H$1-$B3+1,1,0)</f>
        <v>3.06566200976202E-3</v>
      </c>
      <c r="I3" s="3">
        <f>_xlfn.POISSON.DIST(I$1-$B3+1,1,0)</f>
        <v>5.1094366829366978E-4</v>
      </c>
      <c r="J3" s="3">
        <f>_xlfn.POISSON.DIST(J$1-$B3+1,1,0)</f>
        <v>7.2991952613381521E-5</v>
      </c>
      <c r="K3" s="3">
        <f t="shared" ref="K3:K10" si="0">1-SUM(C3:J3)</f>
        <v>1.0249196674694261E-5</v>
      </c>
    </row>
    <row r="4" spans="1:11" ht="21.75" customHeight="1" x14ac:dyDescent="0.25">
      <c r="B4" s="4">
        <v>2</v>
      </c>
      <c r="C4" s="3">
        <v>0</v>
      </c>
      <c r="D4" s="3">
        <f t="shared" ref="D4:J9" si="1">_xlfn.POISSON.DIST(D$1-$B4+1,1,0)</f>
        <v>0.36787944117144233</v>
      </c>
      <c r="E4" s="3">
        <f t="shared" si="1"/>
        <v>0.36787944117144233</v>
      </c>
      <c r="F4" s="3">
        <f t="shared" si="1"/>
        <v>0.18393972058572114</v>
      </c>
      <c r="G4" s="3">
        <f t="shared" si="1"/>
        <v>6.1313240195240391E-2</v>
      </c>
      <c r="H4" s="3">
        <f t="shared" si="1"/>
        <v>1.5328310048810094E-2</v>
      </c>
      <c r="I4" s="3">
        <f t="shared" si="1"/>
        <v>3.06566200976202E-3</v>
      </c>
      <c r="J4" s="3">
        <f t="shared" si="1"/>
        <v>5.1094366829366978E-4</v>
      </c>
      <c r="K4" s="3">
        <f t="shared" si="0"/>
        <v>8.3241149288038052E-5</v>
      </c>
    </row>
    <row r="5" spans="1:11" ht="21.75" customHeight="1" x14ac:dyDescent="0.25">
      <c r="B5" s="4">
        <v>3</v>
      </c>
      <c r="C5" s="3">
        <v>0</v>
      </c>
      <c r="D5" s="3">
        <v>0</v>
      </c>
      <c r="E5" s="3">
        <f t="shared" si="1"/>
        <v>0.36787944117144233</v>
      </c>
      <c r="F5" s="3">
        <f t="shared" si="1"/>
        <v>0.36787944117144233</v>
      </c>
      <c r="G5" s="3">
        <f t="shared" si="1"/>
        <v>0.18393972058572114</v>
      </c>
      <c r="H5" s="3">
        <f t="shared" si="1"/>
        <v>6.1313240195240391E-2</v>
      </c>
      <c r="I5" s="3">
        <f t="shared" si="1"/>
        <v>1.5328310048810094E-2</v>
      </c>
      <c r="J5" s="3">
        <f t="shared" si="1"/>
        <v>3.06566200976202E-3</v>
      </c>
      <c r="K5" s="3">
        <f t="shared" si="0"/>
        <v>5.9418481758166664E-4</v>
      </c>
    </row>
    <row r="6" spans="1:11" ht="21.75" customHeight="1" x14ac:dyDescent="0.25">
      <c r="B6" s="4">
        <v>4</v>
      </c>
      <c r="C6" s="3">
        <v>0</v>
      </c>
      <c r="D6" s="3">
        <v>0</v>
      </c>
      <c r="E6" s="3">
        <v>0</v>
      </c>
      <c r="F6" s="3">
        <f t="shared" si="1"/>
        <v>0.36787944117144233</v>
      </c>
      <c r="G6" s="3">
        <f t="shared" si="1"/>
        <v>0.36787944117144233</v>
      </c>
      <c r="H6" s="3">
        <f t="shared" si="1"/>
        <v>0.18393972058572114</v>
      </c>
      <c r="I6" s="3">
        <f t="shared" si="1"/>
        <v>6.1313240195240391E-2</v>
      </c>
      <c r="J6" s="3">
        <f t="shared" si="1"/>
        <v>1.5328310048810094E-2</v>
      </c>
      <c r="K6" s="3">
        <f t="shared" si="0"/>
        <v>3.6598468273436602E-3</v>
      </c>
    </row>
    <row r="7" spans="1:11" ht="21.75" customHeight="1" x14ac:dyDescent="0.25">
      <c r="B7" s="4">
        <v>5</v>
      </c>
      <c r="C7" s="3">
        <v>0</v>
      </c>
      <c r="D7" s="3">
        <v>0</v>
      </c>
      <c r="E7" s="3">
        <v>0</v>
      </c>
      <c r="F7" s="3">
        <v>0</v>
      </c>
      <c r="G7" s="3">
        <f t="shared" si="1"/>
        <v>0.36787944117144233</v>
      </c>
      <c r="H7" s="3">
        <f t="shared" si="1"/>
        <v>0.36787944117144233</v>
      </c>
      <c r="I7" s="3">
        <f t="shared" si="1"/>
        <v>0.18393972058572114</v>
      </c>
      <c r="J7" s="3">
        <f t="shared" si="1"/>
        <v>6.1313240195240391E-2</v>
      </c>
      <c r="K7" s="3">
        <f t="shared" si="0"/>
        <v>1.8988156876153739E-2</v>
      </c>
    </row>
    <row r="8" spans="1:11" ht="21.75" customHeight="1" x14ac:dyDescent="0.25">
      <c r="B8" s="4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f t="shared" si="1"/>
        <v>0.36787944117144233</v>
      </c>
      <c r="I8" s="3">
        <f t="shared" si="1"/>
        <v>0.36787944117144233</v>
      </c>
      <c r="J8" s="3">
        <f t="shared" si="1"/>
        <v>0.18393972058572114</v>
      </c>
      <c r="K8" s="3">
        <f t="shared" si="0"/>
        <v>8.0301397071394165E-2</v>
      </c>
    </row>
    <row r="9" spans="1:11" ht="21.75" customHeight="1" x14ac:dyDescent="0.25">
      <c r="B9" s="4">
        <v>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f t="shared" si="1"/>
        <v>0.36787944117144233</v>
      </c>
      <c r="J9" s="3">
        <f>_xlfn.POISSON.DIST(J$1-$B9+1,1,0)</f>
        <v>0.36787944117144233</v>
      </c>
      <c r="K9" s="3">
        <f t="shared" si="0"/>
        <v>0.26424111765711533</v>
      </c>
    </row>
    <row r="10" spans="1:11" ht="21.75" customHeight="1" x14ac:dyDescent="0.25">
      <c r="B10" s="4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 t="shared" si="0"/>
        <v>1</v>
      </c>
    </row>
    <row r="12" spans="1:11" ht="21.75" customHeight="1" x14ac:dyDescent="0.25">
      <c r="A12" s="1">
        <v>2</v>
      </c>
      <c r="C12" s="2" cm="1">
        <f t="array" ref="C12:K20">MMULT(C2:K10,C2:K10)</f>
        <v>0.6090087745647571</v>
      </c>
      <c r="D12" s="2">
        <v>0.22555880539435444</v>
      </c>
      <c r="E12" s="2">
        <v>0.10714043256231838</v>
      </c>
      <c r="F12" s="2">
        <v>4.0600584970983809E-2</v>
      </c>
      <c r="G12" s="2">
        <v>1.2969631310175384E-2</v>
      </c>
      <c r="H12" s="2">
        <v>3.5981999908147023E-3</v>
      </c>
      <c r="I12" s="2">
        <v>8.8276734849278629E-4</v>
      </c>
      <c r="J12" s="2">
        <v>1.935598875655919E-4</v>
      </c>
      <c r="K12" s="2">
        <v>4.7243970537784906E-5</v>
      </c>
    </row>
    <row r="13" spans="1:11" ht="21.75" customHeight="1" x14ac:dyDescent="0.25">
      <c r="C13" s="2">
        <v>0.40600584970983811</v>
      </c>
      <c r="D13" s="2">
        <v>0.2706705664732254</v>
      </c>
      <c r="E13" s="2">
        <v>0.18044704431548356</v>
      </c>
      <c r="F13" s="2">
        <v>9.0223522157741792E-2</v>
      </c>
      <c r="G13" s="2">
        <v>3.6089408863096716E-2</v>
      </c>
      <c r="H13" s="2">
        <v>1.2029802954365574E-2</v>
      </c>
      <c r="I13" s="2">
        <v>3.4370865583901633E-3</v>
      </c>
      <c r="J13" s="2">
        <v>8.5591510975536306E-4</v>
      </c>
      <c r="K13" s="2">
        <v>2.4080385810341747E-4</v>
      </c>
    </row>
    <row r="14" spans="1:11" ht="21.75" customHeight="1" x14ac:dyDescent="0.25">
      <c r="C14" s="2">
        <v>0.1353352832366127</v>
      </c>
      <c r="D14" s="2">
        <v>0.2706705664732254</v>
      </c>
      <c r="E14" s="2">
        <v>0.2706705664732254</v>
      </c>
      <c r="F14" s="2">
        <v>0.18044704431548356</v>
      </c>
      <c r="G14" s="2">
        <v>9.0223522157741792E-2</v>
      </c>
      <c r="H14" s="2">
        <v>3.6089408863096716E-2</v>
      </c>
      <c r="I14" s="2">
        <v>1.2029802954365574E-2</v>
      </c>
      <c r="J14" s="2">
        <v>3.4102343196527403E-3</v>
      </c>
      <c r="K14" s="2">
        <v>1.1235712065961565E-3</v>
      </c>
    </row>
    <row r="15" spans="1:11" ht="21.75" customHeight="1" x14ac:dyDescent="0.25">
      <c r="C15" s="2">
        <v>0</v>
      </c>
      <c r="D15" s="2">
        <v>0.1353352832366127</v>
      </c>
      <c r="E15" s="2">
        <v>0.2706705664732254</v>
      </c>
      <c r="F15" s="2">
        <v>0.2706705664732254</v>
      </c>
      <c r="G15" s="2">
        <v>0.18044704431548356</v>
      </c>
      <c r="H15" s="2">
        <v>9.0223522157741792E-2</v>
      </c>
      <c r="I15" s="2">
        <v>3.6089408863096716E-2</v>
      </c>
      <c r="J15" s="2">
        <v>1.1841837283203611E-2</v>
      </c>
      <c r="K15" s="2">
        <v>4.7217711974107835E-3</v>
      </c>
    </row>
    <row r="16" spans="1:11" ht="21.75" customHeight="1" x14ac:dyDescent="0.25">
      <c r="C16" s="2">
        <v>0</v>
      </c>
      <c r="D16" s="2">
        <v>0</v>
      </c>
      <c r="E16" s="2">
        <v>0.1353352832366127</v>
      </c>
      <c r="F16" s="2">
        <v>0.2706705664732254</v>
      </c>
      <c r="G16" s="2">
        <v>0.2706705664732254</v>
      </c>
      <c r="H16" s="2">
        <v>0.18044704431548356</v>
      </c>
      <c r="I16" s="2">
        <v>9.0223522157741792E-2</v>
      </c>
      <c r="J16" s="2">
        <v>3.4961614836124942E-2</v>
      </c>
      <c r="K16" s="2">
        <v>1.7691402507586114E-2</v>
      </c>
    </row>
    <row r="17" spans="1:11" ht="21.75" customHeight="1" x14ac:dyDescent="0.25">
      <c r="C17" s="2">
        <v>0</v>
      </c>
      <c r="D17" s="2">
        <v>0</v>
      </c>
      <c r="E17" s="2">
        <v>0</v>
      </c>
      <c r="F17" s="2">
        <v>0.1353352832366127</v>
      </c>
      <c r="G17" s="2">
        <v>0.2706705664732254</v>
      </c>
      <c r="H17" s="2">
        <v>0.2706705664732254</v>
      </c>
      <c r="I17" s="2">
        <v>0.18044704431548356</v>
      </c>
      <c r="J17" s="2">
        <v>8.4584552022882925E-2</v>
      </c>
      <c r="K17" s="2">
        <v>5.8291987478569895E-2</v>
      </c>
    </row>
    <row r="18" spans="1:11" ht="21.75" customHeight="1" x14ac:dyDescent="0.25">
      <c r="C18" s="2">
        <v>0</v>
      </c>
      <c r="D18" s="2">
        <v>0</v>
      </c>
      <c r="E18" s="2">
        <v>0</v>
      </c>
      <c r="F18" s="2">
        <v>0</v>
      </c>
      <c r="G18" s="2">
        <v>0.1353352832366127</v>
      </c>
      <c r="H18" s="2">
        <v>0.2706705664732254</v>
      </c>
      <c r="I18" s="2">
        <v>0.2706705664732254</v>
      </c>
      <c r="J18" s="2">
        <v>0.15789116377604812</v>
      </c>
      <c r="K18" s="2">
        <v>0.16543242004088832</v>
      </c>
    </row>
    <row r="19" spans="1:11" ht="21.75" customHeight="1" x14ac:dyDescent="0.25"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0.1353352832366127</v>
      </c>
      <c r="I19" s="2">
        <v>0.2706705664732254</v>
      </c>
      <c r="J19" s="2">
        <v>0.20300292485491905</v>
      </c>
      <c r="K19" s="2">
        <v>0.39099122543524284</v>
      </c>
    </row>
    <row r="20" spans="1:11" ht="21.75" customHeight="1" x14ac:dyDescent="0.25"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</row>
    <row r="22" spans="1:11" ht="21.75" customHeight="1" x14ac:dyDescent="0.25">
      <c r="A22" s="1">
        <v>4</v>
      </c>
      <c r="C22" s="2" cm="1">
        <f t="array" ref="C22:K30">MMULT(_xlfn.ANCHORARRAY(C12),_xlfn.ANCHORARRAY(C12))</f>
        <v>0.47696976272745256</v>
      </c>
      <c r="D22" s="2">
        <v>0.23291387453506962</v>
      </c>
      <c r="E22" s="2">
        <v>0.1476952769277648</v>
      </c>
      <c r="F22" s="2">
        <v>7.9396840960528653E-2</v>
      </c>
      <c r="G22" s="2">
        <v>3.7635639820697307E-2</v>
      </c>
      <c r="H22" s="2">
        <v>1.6013919090886557E-2</v>
      </c>
      <c r="I22" s="2">
        <v>6.1777880763321125E-3</v>
      </c>
      <c r="J22" s="2">
        <v>2.0935641366344689E-3</v>
      </c>
      <c r="K22" s="2">
        <v>1.1033337246339156E-3</v>
      </c>
    </row>
    <row r="23" spans="1:11" ht="21.75" customHeight="1" x14ac:dyDescent="0.25">
      <c r="C23" s="2">
        <v>0.38157581018196207</v>
      </c>
      <c r="D23" s="2">
        <v>0.22589287962772153</v>
      </c>
      <c r="E23" s="2">
        <v>0.17048807198930066</v>
      </c>
      <c r="F23" s="2">
        <v>0.10928331203611394</v>
      </c>
      <c r="G23" s="2">
        <v>6.1084836127129526E-2</v>
      </c>
      <c r="H23" s="2">
        <v>3.0184009356143852E-2</v>
      </c>
      <c r="I23" s="2">
        <v>1.3304428000650039E-2</v>
      </c>
      <c r="J23" s="2">
        <v>4.9897548197100202E-3</v>
      </c>
      <c r="K23" s="2">
        <v>3.1968978612684175E-3</v>
      </c>
    </row>
    <row r="24" spans="1:11" ht="21.75" customHeight="1" x14ac:dyDescent="0.25">
      <c r="C24" s="2">
        <v>0.22894548610917728</v>
      </c>
      <c r="D24" s="2">
        <v>0.20147202777607601</v>
      </c>
      <c r="E24" s="2">
        <v>0.19765626967425634</v>
      </c>
      <c r="F24" s="2">
        <v>0.15690397314682281</v>
      </c>
      <c r="G24" s="2">
        <v>0.10432282650374844</v>
      </c>
      <c r="H24" s="2">
        <v>5.9558532886401679E-2</v>
      </c>
      <c r="I24" s="2">
        <v>2.9649803221889103E-2</v>
      </c>
      <c r="J24" s="2">
        <v>1.2116394744027944E-2</v>
      </c>
      <c r="K24" s="2">
        <v>9.3746859376004649E-3</v>
      </c>
    </row>
    <row r="25" spans="1:11" ht="21.75" customHeight="1" x14ac:dyDescent="0.25">
      <c r="C25" s="2">
        <v>9.1578194443670907E-2</v>
      </c>
      <c r="D25" s="2">
        <v>0.14652511110987346</v>
      </c>
      <c r="E25" s="2">
        <v>0.19536681481316462</v>
      </c>
      <c r="F25" s="2">
        <v>0.19536681481316456</v>
      </c>
      <c r="G25" s="2">
        <v>0.15629345185053167</v>
      </c>
      <c r="H25" s="2">
        <v>0.10417019617967564</v>
      </c>
      <c r="I25" s="2">
        <v>5.9024326752146937E-2</v>
      </c>
      <c r="J25" s="2">
        <v>2.6286485009285234E-2</v>
      </c>
      <c r="K25" s="2">
        <v>2.5388605028486909E-2</v>
      </c>
    </row>
    <row r="26" spans="1:11" ht="21.75" customHeight="1" x14ac:dyDescent="0.25">
      <c r="C26" s="2">
        <v>1.8315638888734182E-2</v>
      </c>
      <c r="D26" s="2">
        <v>7.3262555554936729E-2</v>
      </c>
      <c r="E26" s="2">
        <v>0.14652511110987346</v>
      </c>
      <c r="F26" s="2">
        <v>0.19536681481316462</v>
      </c>
      <c r="G26" s="2">
        <v>0.19536681481316456</v>
      </c>
      <c r="H26" s="2">
        <v>0.15614082152645889</v>
      </c>
      <c r="I26" s="2">
        <v>0.10226231712876584</v>
      </c>
      <c r="J26" s="2">
        <v>4.9735681315717449E-2</v>
      </c>
      <c r="K26" s="2">
        <v>6.3024244849184119E-2</v>
      </c>
    </row>
    <row r="27" spans="1:11" ht="21.75" customHeight="1" x14ac:dyDescent="0.25">
      <c r="C27" s="2">
        <v>0</v>
      </c>
      <c r="D27" s="2">
        <v>1.8315638888734182E-2</v>
      </c>
      <c r="E27" s="2">
        <v>7.3262555554936729E-2</v>
      </c>
      <c r="F27" s="2">
        <v>0.14652511110987346</v>
      </c>
      <c r="G27" s="2">
        <v>0.19536681481316462</v>
      </c>
      <c r="H27" s="2">
        <v>0.19460366319280065</v>
      </c>
      <c r="I27" s="2">
        <v>0.14988297823947469</v>
      </c>
      <c r="J27" s="2">
        <v>7.9622152391302742E-2</v>
      </c>
      <c r="K27" s="2">
        <v>0.14242108580971272</v>
      </c>
    </row>
    <row r="28" spans="1:11" ht="21.75" customHeight="1" x14ac:dyDescent="0.25">
      <c r="C28" s="2">
        <v>0</v>
      </c>
      <c r="D28" s="2">
        <v>0</v>
      </c>
      <c r="E28" s="2">
        <v>1.8315638888734182E-2</v>
      </c>
      <c r="F28" s="2">
        <v>7.3262555554936729E-2</v>
      </c>
      <c r="G28" s="2">
        <v>0.14652511110987346</v>
      </c>
      <c r="H28" s="2">
        <v>0.19231420833170892</v>
      </c>
      <c r="I28" s="2">
        <v>0.1770511759244304</v>
      </c>
      <c r="J28" s="2">
        <v>0.10241494745283862</v>
      </c>
      <c r="K28" s="2">
        <v>0.29011636273747754</v>
      </c>
    </row>
    <row r="29" spans="1:11" ht="21.75" customHeight="1" x14ac:dyDescent="0.25">
      <c r="C29" s="2">
        <v>0</v>
      </c>
      <c r="D29" s="2">
        <v>0</v>
      </c>
      <c r="E29" s="2">
        <v>0</v>
      </c>
      <c r="F29" s="2">
        <v>1.8315638888734182E-2</v>
      </c>
      <c r="G29" s="2">
        <v>7.3262555554936729E-2</v>
      </c>
      <c r="H29" s="2">
        <v>0.13736729166550637</v>
      </c>
      <c r="I29" s="2">
        <v>0.15263032407278485</v>
      </c>
      <c r="J29" s="2">
        <v>9.5393952545490532E-2</v>
      </c>
      <c r="K29" s="2">
        <v>0.52303023727254727</v>
      </c>
    </row>
    <row r="30" spans="1:11" ht="21.75" customHeight="1" x14ac:dyDescent="0.25"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</row>
    <row r="32" spans="1:11" ht="21.75" customHeight="1" x14ac:dyDescent="0.25">
      <c r="A32" s="1">
        <v>8</v>
      </c>
      <c r="C32" s="2" cm="1">
        <f t="array" ref="C32:K40">MMULT(_xlfn.ANCHORARRAY(C22),_xlfn.ANCHORARRAY(C22))</f>
        <v>0.35814896203487695</v>
      </c>
      <c r="D32" s="2">
        <v>0.20814714748847232</v>
      </c>
      <c r="E32" s="2">
        <v>0.16166056109098184</v>
      </c>
      <c r="F32" s="2">
        <v>0.11219911756846911</v>
      </c>
      <c r="G32" s="2">
        <v>7.1535687527043562E-2</v>
      </c>
      <c r="H32" s="2">
        <v>4.2204218960187924E-2</v>
      </c>
      <c r="I32" s="2">
        <v>2.2773132606190429E-2</v>
      </c>
      <c r="J32" s="2">
        <v>1.0016656157908071E-2</v>
      </c>
      <c r="K32" s="2">
        <v>1.3314516565869764E-2</v>
      </c>
    </row>
    <row r="33" spans="1:11" ht="21.75" customHeight="1" x14ac:dyDescent="0.25">
      <c r="C33" s="2">
        <v>0.31835463291989069</v>
      </c>
      <c r="D33" s="2">
        <v>0.19529129107461729</v>
      </c>
      <c r="E33" s="2">
        <v>0.16132285455755488</v>
      </c>
      <c r="F33" s="2">
        <v>0.12050559655562358</v>
      </c>
      <c r="G33" s="2">
        <v>8.3171441528000323E-2</v>
      </c>
      <c r="H33" s="2">
        <v>5.3122775369903716E-2</v>
      </c>
      <c r="I33" s="2">
        <v>3.0755880366555181E-2</v>
      </c>
      <c r="J33" s="2">
        <v>1.4144354904076598E-2</v>
      </c>
      <c r="K33" s="2">
        <v>2.3331172723777851E-2</v>
      </c>
    </row>
    <row r="34" spans="1:11" ht="21.75" customHeight="1" x14ac:dyDescent="0.25">
      <c r="C34" s="2">
        <v>0.24760915893769278</v>
      </c>
      <c r="D34" s="2">
        <v>0.17038206775209275</v>
      </c>
      <c r="E34" s="2">
        <v>0.15807695411239459</v>
      </c>
      <c r="F34" s="2">
        <v>0.13336414116330489</v>
      </c>
      <c r="G34" s="2">
        <v>0.10331561790130539</v>
      </c>
      <c r="H34" s="2">
        <v>7.3110218436729213E-2</v>
      </c>
      <c r="I34" s="2">
        <v>4.591043370207093E-2</v>
      </c>
      <c r="J34" s="2">
        <v>2.2127102664441338E-2</v>
      </c>
      <c r="K34" s="2">
        <v>4.6104305329968183E-2</v>
      </c>
    </row>
    <row r="35" spans="1:11" ht="21.75" customHeight="1" x14ac:dyDescent="0.25">
      <c r="C35" s="2">
        <v>0.16507277262512851</v>
      </c>
      <c r="D35" s="2">
        <v>0.1357743053606929</v>
      </c>
      <c r="E35" s="2">
        <v>0.14690387708176569</v>
      </c>
      <c r="F35" s="2">
        <v>0.14270962079232297</v>
      </c>
      <c r="G35" s="2">
        <v>0.124773152926864</v>
      </c>
      <c r="H35" s="2">
        <v>9.7514211080016303E-2</v>
      </c>
      <c r="I35" s="2">
        <v>6.5897876768896413E-2</v>
      </c>
      <c r="J35" s="2">
        <v>3.304565907415713E-2</v>
      </c>
      <c r="K35" s="2">
        <v>8.8308524290155954E-2</v>
      </c>
    </row>
    <row r="36" spans="1:11" ht="21.75" customHeight="1" x14ac:dyDescent="0.25">
      <c r="C36" s="2">
        <v>9.1707095902849201E-2</v>
      </c>
      <c r="D36" s="2">
        <v>9.6135202591162344E-2</v>
      </c>
      <c r="E36" s="2">
        <v>0.12426374394078797</v>
      </c>
      <c r="F36" s="2">
        <v>0.14006882603825199</v>
      </c>
      <c r="G36" s="2">
        <v>0.13828570738685861</v>
      </c>
      <c r="H36" s="2">
        <v>0.11897174610557495</v>
      </c>
      <c r="I36" s="2">
        <v>8.6042053142201452E-2</v>
      </c>
      <c r="J36" s="2">
        <v>4.4681413075113877E-2</v>
      </c>
      <c r="K36" s="2">
        <v>0.15984421181719938</v>
      </c>
    </row>
    <row r="37" spans="1:11" ht="21.75" customHeight="1" x14ac:dyDescent="0.25">
      <c r="C37" s="2">
        <v>4.0758709290155196E-2</v>
      </c>
      <c r="D37" s="2">
        <v>5.8244698769573632E-2</v>
      </c>
      <c r="E37" s="2">
        <v>9.1858054085405316E-2</v>
      </c>
      <c r="F37" s="2">
        <v>0.12124458028966535</v>
      </c>
      <c r="G37" s="2">
        <v>0.13564491263278766</v>
      </c>
      <c r="H37" s="2">
        <v>0.128317225734593</v>
      </c>
      <c r="I37" s="2">
        <v>9.8900597749882774E-2</v>
      </c>
      <c r="J37" s="2">
        <v>5.2987892062268338E-2</v>
      </c>
      <c r="K37" s="2">
        <v>0.27204332938566844</v>
      </c>
    </row>
    <row r="38" spans="1:11" ht="21.75" customHeight="1" x14ac:dyDescent="0.25">
      <c r="C38" s="2">
        <v>1.3586236430051732E-2</v>
      </c>
      <c r="D38" s="2">
        <v>2.868205468566477E-2</v>
      </c>
      <c r="E38" s="2">
        <v>5.6735116944012329E-2</v>
      </c>
      <c r="F38" s="2">
        <v>8.8838890434282725E-2</v>
      </c>
      <c r="G38" s="2">
        <v>0.11300477949180991</v>
      </c>
      <c r="H38" s="2">
        <v>0.11714414870396411</v>
      </c>
      <c r="I38" s="2">
        <v>9.5654697304722494E-2</v>
      </c>
      <c r="J38" s="2">
        <v>5.2650185528841389E-2</v>
      </c>
      <c r="K38" s="2">
        <v>0.43370389047665026</v>
      </c>
    </row>
    <row r="39" spans="1:11" ht="21.75" customHeight="1" x14ac:dyDescent="0.25">
      <c r="C39" s="2">
        <v>3.0191636511226073E-3</v>
      </c>
      <c r="D39" s="2">
        <v>1.0567072778929125E-2</v>
      </c>
      <c r="E39" s="2">
        <v>2.7172472860103464E-2</v>
      </c>
      <c r="F39" s="2">
        <v>5.0948386612693998E-2</v>
      </c>
      <c r="G39" s="2">
        <v>7.3365676722279352E-2</v>
      </c>
      <c r="H39" s="2">
        <v>8.2536386312564269E-2</v>
      </c>
      <c r="I39" s="2">
        <v>7.0745473982197937E-2</v>
      </c>
      <c r="J39" s="2">
        <v>3.9794329114986343E-2</v>
      </c>
      <c r="K39" s="2">
        <v>0.64185103796512277</v>
      </c>
    </row>
    <row r="40" spans="1:11" ht="21.75" customHeight="1" x14ac:dyDescent="0.25"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</row>
    <row r="42" spans="1:11" ht="21.75" customHeight="1" x14ac:dyDescent="0.25">
      <c r="A42" s="1">
        <v>16</v>
      </c>
      <c r="C42" s="1" cm="1">
        <f t="array" ref="C42:K50">MMULT(_xlfn.ANCHORARRAY(C32),_xlfn.ANCHORARRAY(C32))</f>
        <v>0.26170510546288178</v>
      </c>
      <c r="D42" s="1">
        <v>0.16806912471507443</v>
      </c>
      <c r="E42" s="1">
        <v>0.14784505207544721</v>
      </c>
      <c r="F42" s="1">
        <v>0.12050893397811194</v>
      </c>
      <c r="G42" s="1">
        <v>9.2559331289527605E-2</v>
      </c>
      <c r="H42" s="1">
        <v>6.6353530521435139E-2</v>
      </c>
      <c r="I42" s="1">
        <v>4.2589602771526576E-2</v>
      </c>
      <c r="J42" s="1">
        <v>2.0846579723414579E-2</v>
      </c>
      <c r="K42" s="1">
        <v>7.9522739462580719E-2</v>
      </c>
    </row>
    <row r="43" spans="1:11" ht="21.75" customHeight="1" x14ac:dyDescent="0.25">
      <c r="C43" s="1">
        <v>0.24628066580351424</v>
      </c>
      <c r="D43" s="1">
        <v>0.16037281200178663</v>
      </c>
      <c r="E43" s="1">
        <v>0.14351872700676233</v>
      </c>
      <c r="F43" s="1">
        <v>0.11950831948281369</v>
      </c>
      <c r="G43" s="1">
        <v>9.3939936865860968E-2</v>
      </c>
      <c r="H43" s="1">
        <v>6.8837595483762476E-2</v>
      </c>
      <c r="I43" s="1">
        <v>4.4956462375525419E-2</v>
      </c>
      <c r="J43" s="1">
        <v>2.2216161793978936E-2</v>
      </c>
      <c r="K43" s="1">
        <v>0.10036931918599531</v>
      </c>
    </row>
    <row r="44" spans="1:11" ht="21.75" customHeight="1" x14ac:dyDescent="0.25">
      <c r="C44" s="1">
        <v>0.21722418287450226</v>
      </c>
      <c r="D44" s="1">
        <v>0.14559535082619074</v>
      </c>
      <c r="E44" s="1">
        <v>0.13485531973132989</v>
      </c>
      <c r="F44" s="1">
        <v>0.11696915231786115</v>
      </c>
      <c r="G44" s="1">
        <v>9.5871466974233641E-2</v>
      </c>
      <c r="H44" s="1">
        <v>7.294062875997695E-2</v>
      </c>
      <c r="I44" s="1">
        <v>4.900195516040589E-2</v>
      </c>
      <c r="J44" s="1">
        <v>2.4583021397977776E-2</v>
      </c>
      <c r="K44" s="1">
        <v>0.14295892195752175</v>
      </c>
    </row>
    <row r="45" spans="1:11" ht="21.75" customHeight="1" x14ac:dyDescent="0.25">
      <c r="C45" s="1">
        <v>0.17868945082169593</v>
      </c>
      <c r="D45" s="1">
        <v>0.12519511268222808</v>
      </c>
      <c r="E45" s="1">
        <v>0.12187487040808097</v>
      </c>
      <c r="F45" s="1">
        <v>0.1116781442695305</v>
      </c>
      <c r="G45" s="1">
        <v>9.6437775684841937E-2</v>
      </c>
      <c r="H45" s="1">
        <v>7.6640118857740178E-2</v>
      </c>
      <c r="I45" s="1">
        <v>5.3104988436620364E-2</v>
      </c>
      <c r="J45" s="1">
        <v>2.7067086360305095E-2</v>
      </c>
      <c r="K45" s="1">
        <v>0.20931245247895669</v>
      </c>
    </row>
    <row r="46" spans="1:11" ht="21.75" customHeight="1" x14ac:dyDescent="0.25">
      <c r="C46" s="1">
        <v>0.13617508255426899</v>
      </c>
      <c r="D46" s="1">
        <v>0.10121661207208614</v>
      </c>
      <c r="E46" s="1">
        <v>0.10476223689027979</v>
      </c>
      <c r="F46" s="1">
        <v>0.10215030426449395</v>
      </c>
      <c r="G46" s="1">
        <v>9.3133342400406688E-2</v>
      </c>
      <c r="H46" s="1">
        <v>7.7206427568348501E-2</v>
      </c>
      <c r="I46" s="1">
        <v>5.5036518544993022E-2</v>
      </c>
      <c r="J46" s="1">
        <v>2.8447691936638434E-2</v>
      </c>
      <c r="K46" s="1">
        <v>0.30187178376848411</v>
      </c>
    </row>
    <row r="47" spans="1:11" ht="21.75" customHeight="1" x14ac:dyDescent="0.25">
      <c r="C47" s="1">
        <v>9.507254520434448E-2</v>
      </c>
      <c r="D47" s="1">
        <v>7.5882003938556333E-2</v>
      </c>
      <c r="E47" s="1">
        <v>8.4010881591796052E-2</v>
      </c>
      <c r="F47" s="1">
        <v>8.7188500781938072E-2</v>
      </c>
      <c r="G47" s="1">
        <v>8.360550239537011E-2</v>
      </c>
      <c r="H47" s="1">
        <v>7.1915419520017856E-2</v>
      </c>
      <c r="I47" s="1">
        <v>5.2497351380040455E-2</v>
      </c>
      <c r="J47" s="1">
        <v>2.7447077441340197E-2</v>
      </c>
      <c r="K47" s="1">
        <v>0.42238071774659602</v>
      </c>
    </row>
    <row r="48" spans="1:11" ht="21.75" customHeight="1" x14ac:dyDescent="0.25">
      <c r="C48" s="1">
        <v>5.930650932789594E-2</v>
      </c>
      <c r="D48" s="1">
        <v>5.114467165049999E-2</v>
      </c>
      <c r="E48" s="1">
        <v>6.0503368164504884E-2</v>
      </c>
      <c r="F48" s="1">
        <v>6.6437145483454363E-2</v>
      </c>
      <c r="G48" s="1">
        <v>6.6492868877568931E-2</v>
      </c>
      <c r="H48" s="1">
        <v>5.8934970196768958E-2</v>
      </c>
      <c r="I48" s="1">
        <v>4.3833944104608003E-2</v>
      </c>
      <c r="J48" s="1">
        <v>2.3120752372655286E-2</v>
      </c>
      <c r="K48" s="1">
        <v>0.57022576982204332</v>
      </c>
    </row>
    <row r="49" spans="1:11" ht="21.75" customHeight="1" x14ac:dyDescent="0.25">
      <c r="C49" s="1">
        <v>3.0757271548102868E-2</v>
      </c>
      <c r="D49" s="1">
        <v>2.8549237779793079E-2</v>
      </c>
      <c r="E49" s="1">
        <v>3.5766035876448554E-2</v>
      </c>
      <c r="F49" s="1">
        <v>4.1102537349924535E-2</v>
      </c>
      <c r="G49" s="1">
        <v>4.2514368267426952E-2</v>
      </c>
      <c r="H49" s="1">
        <v>3.8534732052806324E-2</v>
      </c>
      <c r="I49" s="1">
        <v>2.9056482929012067E-2</v>
      </c>
      <c r="J49" s="1">
        <v>1.5424439659367482E-2</v>
      </c>
      <c r="K49" s="1">
        <v>0.73829489453711794</v>
      </c>
    </row>
    <row r="50" spans="1:11" ht="21.75" customHeight="1" x14ac:dyDescent="0.25"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</row>
    <row r="52" spans="1:11" ht="21.75" customHeight="1" x14ac:dyDescent="0.25">
      <c r="A52" s="1">
        <v>32</v>
      </c>
      <c r="C52" s="1" cm="1">
        <f t="array" ref="C52:K60">MMULT(_xlfn.ANCHORARRAY(C42),_xlfn.ANCHORARRAY(C42))</f>
        <v>0.18561063221889407</v>
      </c>
      <c r="D52" s="1">
        <v>0.12472791394733694</v>
      </c>
      <c r="E52" s="1">
        <v>0.11603112937529421</v>
      </c>
      <c r="F52" s="1">
        <v>0.10130159411644733</v>
      </c>
      <c r="G52" s="1">
        <v>8.3693452280293665E-2</v>
      </c>
      <c r="H52" s="1">
        <v>6.4185613829284158E-2</v>
      </c>
      <c r="I52" s="1">
        <v>4.3396158439895846E-2</v>
      </c>
      <c r="J52" s="1">
        <v>2.1846371317720943E-2</v>
      </c>
      <c r="K52" s="1">
        <v>0.25920713447483268</v>
      </c>
    </row>
    <row r="53" spans="1:11" ht="21.75" customHeight="1" x14ac:dyDescent="0.25">
      <c r="C53" s="1">
        <v>0.17916660815491686</v>
      </c>
      <c r="D53" s="1">
        <v>0.12063448652981794</v>
      </c>
      <c r="E53" s="1">
        <v>0.11248627089036357</v>
      </c>
      <c r="F53" s="1">
        <v>9.8476396465069227E-2</v>
      </c>
      <c r="G53" s="1">
        <v>8.1583385275173392E-2</v>
      </c>
      <c r="H53" s="1">
        <v>6.2717601532361597E-2</v>
      </c>
      <c r="I53" s="1">
        <v>4.2478037265899153E-2</v>
      </c>
      <c r="J53" s="1">
        <v>2.1403708093844506E-2</v>
      </c>
      <c r="K53" s="1">
        <v>0.28105350579255367</v>
      </c>
    </row>
    <row r="54" spans="1:11" ht="21.75" customHeight="1" x14ac:dyDescent="0.25">
      <c r="C54" s="1">
        <v>0.16655318558355373</v>
      </c>
      <c r="D54" s="1">
        <v>0.11258316949139442</v>
      </c>
      <c r="E54" s="1">
        <v>0.10546827399740777</v>
      </c>
      <c r="F54" s="1">
        <v>9.2832978884913667E-2</v>
      </c>
      <c r="G54" s="1">
        <v>7.7322845653268829E-2</v>
      </c>
      <c r="H54" s="1">
        <v>5.9719665159734335E-2</v>
      </c>
      <c r="I54" s="1">
        <v>4.0584630077430003E-2</v>
      </c>
      <c r="J54" s="1">
        <v>2.0485586919847813E-2</v>
      </c>
      <c r="K54" s="1">
        <v>0.32444966423244936</v>
      </c>
    </row>
    <row r="55" spans="1:11" ht="21.75" customHeight="1" x14ac:dyDescent="0.25">
      <c r="C55" s="1">
        <v>0.14842772713183763</v>
      </c>
      <c r="D55" s="1">
        <v>0.10090153684777937</v>
      </c>
      <c r="E55" s="1">
        <v>9.5155182438640476E-2</v>
      </c>
      <c r="F55" s="1">
        <v>8.43970959062324E-2</v>
      </c>
      <c r="G55" s="1">
        <v>7.082546263135521E-2</v>
      </c>
      <c r="H55" s="1">
        <v>5.5053448654693284E-2</v>
      </c>
      <c r="I55" s="1">
        <v>3.7586693704802727E-2</v>
      </c>
      <c r="J55" s="1">
        <v>1.9017574622925245E-2</v>
      </c>
      <c r="K55" s="1">
        <v>0.38863527806173331</v>
      </c>
    </row>
    <row r="56" spans="1:11" ht="21.75" customHeight="1" x14ac:dyDescent="0.25">
      <c r="C56" s="1">
        <v>0.12573713137892228</v>
      </c>
      <c r="D56" s="1">
        <v>8.6073037539185146E-2</v>
      </c>
      <c r="E56" s="1">
        <v>8.1826984772059894E-2</v>
      </c>
      <c r="F56" s="1">
        <v>7.3239301149886624E-2</v>
      </c>
      <c r="G56" s="1">
        <v>6.2005087484435971E-2</v>
      </c>
      <c r="H56" s="1">
        <v>4.8556065632779699E-2</v>
      </c>
      <c r="I56" s="1">
        <v>3.3326154082898136E-2</v>
      </c>
      <c r="J56" s="1">
        <v>1.6907507617804969E-2</v>
      </c>
      <c r="K56" s="1">
        <v>0.47232873034202683</v>
      </c>
    </row>
    <row r="57" spans="1:11" ht="21.75" customHeight="1" x14ac:dyDescent="0.25">
      <c r="C57" s="1">
        <v>9.9577901388118339E-2</v>
      </c>
      <c r="D57" s="1">
        <v>6.868324255684112E-2</v>
      </c>
      <c r="E57" s="1">
        <v>6.5860212512385247E-2</v>
      </c>
      <c r="F57" s="1">
        <v>5.9515797232822625E-2</v>
      </c>
      <c r="G57" s="1">
        <v>5.0847292728090181E-2</v>
      </c>
      <c r="H57" s="1">
        <v>4.0120182654098439E-2</v>
      </c>
      <c r="I57" s="1">
        <v>2.7682736502742538E-2</v>
      </c>
      <c r="J57" s="1">
        <v>1.4082309966426867E-2</v>
      </c>
      <c r="K57" s="1">
        <v>0.57363032445847417</v>
      </c>
    </row>
    <row r="58" spans="1:11" ht="21.75" customHeight="1" x14ac:dyDescent="0.25">
      <c r="C58" s="1">
        <v>7.1099710816831724E-2</v>
      </c>
      <c r="D58" s="1">
        <v>4.9400662044150633E-2</v>
      </c>
      <c r="E58" s="1">
        <v>4.7760771083977138E-2</v>
      </c>
      <c r="F58" s="1">
        <v>4.3549024973147971E-2</v>
      </c>
      <c r="G58" s="1">
        <v>3.7519095061509591E-2</v>
      </c>
      <c r="H58" s="1">
        <v>2.980709109533115E-2</v>
      </c>
      <c r="I58" s="1">
        <v>2.0664739609786712E-2</v>
      </c>
      <c r="J58" s="1">
        <v>1.0537451481496235E-2</v>
      </c>
      <c r="K58" s="1">
        <v>0.68966145383376842</v>
      </c>
    </row>
    <row r="59" spans="1:11" ht="21.75" customHeight="1" x14ac:dyDescent="0.25">
      <c r="C59" s="1">
        <v>4.184494294572795E-2</v>
      </c>
      <c r="D59" s="1">
        <v>2.925476787110377E-2</v>
      </c>
      <c r="E59" s="1">
        <v>2.8478190571286647E-2</v>
      </c>
      <c r="F59" s="1">
        <v>2.6159229990803931E-2</v>
      </c>
      <c r="G59" s="1">
        <v>2.2690595752915359E-2</v>
      </c>
      <c r="H59" s="1">
        <v>1.8125458451716127E-2</v>
      </c>
      <c r="I59" s="1">
        <v>1.2613422571363161E-2</v>
      </c>
      <c r="J59" s="1">
        <v>6.4440240639772155E-3</v>
      </c>
      <c r="K59" s="1">
        <v>0.8143893677811056</v>
      </c>
    </row>
    <row r="60" spans="1:11" ht="21.75" customHeight="1" x14ac:dyDescent="0.25"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</row>
    <row r="62" spans="1:11" ht="21.75" customHeight="1" x14ac:dyDescent="0.25">
      <c r="A62" s="1">
        <v>34</v>
      </c>
      <c r="C62" s="1" cm="1">
        <f t="array" ref="C62:K70">MMULT(_xlfn.ANCHORARRAY(C52),_xlfn.ANCHORARRAY(C12))</f>
        <v>0.17938187211681211</v>
      </c>
      <c r="D62" s="1">
        <v>0.12074217904354281</v>
      </c>
      <c r="E62" s="1">
        <v>0.11254543528961264</v>
      </c>
      <c r="F62" s="1">
        <v>9.848605852724554E-2</v>
      </c>
      <c r="G62" s="1">
        <v>8.155651055240877E-2</v>
      </c>
      <c r="H62" s="1">
        <v>6.2673638077898788E-2</v>
      </c>
      <c r="I62" s="1">
        <v>4.2436752750628345E-2</v>
      </c>
      <c r="J62" s="1">
        <v>2.137989048230074E-2</v>
      </c>
      <c r="K62" s="1">
        <v>0.28079766315955013</v>
      </c>
    </row>
    <row r="63" spans="1:11" ht="21.75" customHeight="1" x14ac:dyDescent="0.25">
      <c r="C63" s="1">
        <v>0.17331570501437638</v>
      </c>
      <c r="D63" s="1">
        <v>0.11683886457729047</v>
      </c>
      <c r="E63" s="1">
        <v>0.10910661966667776</v>
      </c>
      <c r="F63" s="1">
        <v>9.5680939964984391E-2</v>
      </c>
      <c r="G63" s="1">
        <v>7.9402841435864985E-2</v>
      </c>
      <c r="H63" s="1">
        <v>6.1131857529788877E-2</v>
      </c>
      <c r="I63" s="1">
        <v>4.1448790608993293E-2</v>
      </c>
      <c r="J63" s="1">
        <v>2.0896827560172873E-2</v>
      </c>
      <c r="K63" s="1">
        <v>0.30217755364185089</v>
      </c>
    </row>
    <row r="64" spans="1:11" ht="21.75" customHeight="1" x14ac:dyDescent="0.25">
      <c r="C64" s="1">
        <v>0.16141535557839279</v>
      </c>
      <c r="D64" s="1">
        <v>0.10915122279535745</v>
      </c>
      <c r="E64" s="1">
        <v>0.10229870218959956</v>
      </c>
      <c r="F64" s="1">
        <v>9.0089596378213455E-2</v>
      </c>
      <c r="G64" s="1">
        <v>7.5076255695411251E-2</v>
      </c>
      <c r="H64" s="1">
        <v>5.8010173081367529E-2</v>
      </c>
      <c r="I64" s="1">
        <v>3.9435522470640937E-2</v>
      </c>
      <c r="J64" s="1">
        <v>1.9908865418537827E-2</v>
      </c>
      <c r="K64" s="1">
        <v>0.34461430639247909</v>
      </c>
    </row>
    <row r="65" spans="1:11" ht="21.75" customHeight="1" x14ac:dyDescent="0.25">
      <c r="C65" s="1">
        <v>0.14423825598366877</v>
      </c>
      <c r="D65" s="1">
        <v>9.7967868968211427E-2</v>
      </c>
      <c r="E65" s="1">
        <v>9.2294695916962044E-2</v>
      </c>
      <c r="F65" s="1">
        <v>8.1765267930982738E-2</v>
      </c>
      <c r="G65" s="1">
        <v>6.8539493994883169E-2</v>
      </c>
      <c r="H65" s="1">
        <v>5.3225549842266358E-2</v>
      </c>
      <c r="I65" s="1">
        <v>3.6313838022219561E-2</v>
      </c>
      <c r="J65" s="1">
        <v>1.8367084870427902E-2</v>
      </c>
      <c r="K65" s="1">
        <v>0.40728794447037769</v>
      </c>
    </row>
    <row r="66" spans="1:11" ht="21.75" customHeight="1" x14ac:dyDescent="0.25">
      <c r="C66" s="1">
        <v>0.12259525120209371</v>
      </c>
      <c r="D66" s="1">
        <v>8.3718572862566065E-2</v>
      </c>
      <c r="E66" s="1">
        <v>7.9366511392493899E-2</v>
      </c>
      <c r="F66" s="1">
        <v>7.0814275422769732E-2</v>
      </c>
      <c r="G66" s="1">
        <v>5.9771477919901603E-2</v>
      </c>
      <c r="H66" s="1">
        <v>4.668878814173829E-2</v>
      </c>
      <c r="I66" s="1">
        <v>3.198725228176582E-2</v>
      </c>
      <c r="J66" s="1">
        <v>1.621341575388411E-2</v>
      </c>
      <c r="K66" s="1">
        <v>0.48884445502278628</v>
      </c>
    </row>
    <row r="67" spans="1:11" ht="21.75" customHeight="1" x14ac:dyDescent="0.25">
      <c r="C67" s="1">
        <v>9.7442824467612529E-2</v>
      </c>
      <c r="D67" s="1">
        <v>6.6932212955190112E-2</v>
      </c>
      <c r="E67" s="1">
        <v>6.3879535884815389E-2</v>
      </c>
      <c r="F67" s="1">
        <v>5.7425762149535653E-2</v>
      </c>
      <c r="G67" s="1">
        <v>4.882048541168859E-2</v>
      </c>
      <c r="H67" s="1">
        <v>3.836445969450758E-2</v>
      </c>
      <c r="I67" s="1">
        <v>2.6395908694994856E-2</v>
      </c>
      <c r="J67" s="1">
        <v>1.3408297191622957E-2</v>
      </c>
      <c r="K67" s="1">
        <v>0.58733051355003185</v>
      </c>
    </row>
    <row r="68" spans="1:11" ht="21.75" customHeight="1" x14ac:dyDescent="0.25">
      <c r="C68" s="1">
        <v>6.9821023008180286E-2</v>
      </c>
      <c r="D68" s="1">
        <v>4.8229625609288673E-2</v>
      </c>
      <c r="E68" s="1">
        <v>4.6324388805333704E-2</v>
      </c>
      <c r="F68" s="1">
        <v>4.1938786641857136E-2</v>
      </c>
      <c r="G68" s="1">
        <v>3.5892300887220424E-2</v>
      </c>
      <c r="H68" s="1">
        <v>2.8360453421870078E-2</v>
      </c>
      <c r="I68" s="1">
        <v>1.9587991217916646E-2</v>
      </c>
      <c r="J68" s="1">
        <v>9.9694815686880676E-3</v>
      </c>
      <c r="K68" s="1">
        <v>0.69987594883964455</v>
      </c>
    </row>
    <row r="69" spans="1:11" ht="21.75" customHeight="1" x14ac:dyDescent="0.25">
      <c r="C69" s="1">
        <v>4.1215648299712825E-2</v>
      </c>
      <c r="D69" s="1">
        <v>2.8605374708467454E-2</v>
      </c>
      <c r="E69" s="1">
        <v>2.7621801459432264E-2</v>
      </c>
      <c r="F69" s="1">
        <v>2.5152426734481176E-2</v>
      </c>
      <c r="G69" s="1">
        <v>2.1643004781575059E-2</v>
      </c>
      <c r="H69" s="1">
        <v>1.7177099594724052E-2</v>
      </c>
      <c r="I69" s="1">
        <v>1.1900349435983622E-2</v>
      </c>
      <c r="J69" s="1">
        <v>6.0661671024357239E-3</v>
      </c>
      <c r="K69" s="1">
        <v>0.82061812788318755</v>
      </c>
    </row>
    <row r="70" spans="1:11" ht="21.75" customHeight="1" x14ac:dyDescent="0.25"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</row>
    <row r="72" spans="1:11" ht="21.75" customHeight="1" x14ac:dyDescent="0.25">
      <c r="A72" s="1">
        <v>35</v>
      </c>
      <c r="C72" s="1" cm="1">
        <f t="array" ref="C72:K80">MMULT(_xlfn.ANCHORARRAY(C62),C2:K10)</f>
        <v>0.17640037109360071</v>
      </c>
      <c r="D72" s="1">
        <v>0.11881716862841017</v>
      </c>
      <c r="E72" s="1">
        <v>0.11084191450287084</v>
      </c>
      <c r="F72" s="1">
        <v>9.7088250798799694E-2</v>
      </c>
      <c r="G72" s="1">
        <v>8.0476027619008905E-2</v>
      </c>
      <c r="H72" s="1">
        <v>6.1894873034362349E-2</v>
      </c>
      <c r="I72" s="1">
        <v>4.1934933438009969E-2</v>
      </c>
      <c r="J72" s="1">
        <v>2.1133753144302089E-2</v>
      </c>
      <c r="K72" s="1">
        <v>0.2914127077406351</v>
      </c>
    </row>
    <row r="73" spans="1:11" ht="21.75" customHeight="1" x14ac:dyDescent="0.25">
      <c r="C73" s="1">
        <v>0.1705011856216461</v>
      </c>
      <c r="D73" s="1">
        <v>0.11500034083234362</v>
      </c>
      <c r="E73" s="1">
        <v>0.10745498855121291</v>
      </c>
      <c r="F73" s="1">
        <v>9.4299171026223733E-2</v>
      </c>
      <c r="G73" s="1">
        <v>7.8311301976283096E-2</v>
      </c>
      <c r="H73" s="1">
        <v>6.0328319559024041E-2</v>
      </c>
      <c r="I73" s="1">
        <v>4.0922153315882732E-2</v>
      </c>
      <c r="J73" s="1">
        <v>2.0636078232446443E-2</v>
      </c>
      <c r="K73" s="1">
        <v>0.31254646088493726</v>
      </c>
    </row>
    <row r="74" spans="1:11" ht="21.75" customHeight="1" x14ac:dyDescent="0.25">
      <c r="C74" s="1">
        <v>0.15891727245847329</v>
      </c>
      <c r="D74" s="1">
        <v>0.10747877564254379</v>
      </c>
      <c r="E74" s="1">
        <v>0.10074984365539763</v>
      </c>
      <c r="F74" s="1">
        <v>8.8744555816287485E-2</v>
      </c>
      <c r="G74" s="1">
        <v>7.3971029839008495E-2</v>
      </c>
      <c r="H74" s="1">
        <v>5.716661971699516E-2</v>
      </c>
      <c r="I74" s="1">
        <v>3.8867210438027773E-2</v>
      </c>
      <c r="J74" s="1">
        <v>1.9623298110319206E-2</v>
      </c>
      <c r="K74" s="1">
        <v>0.35448139432294706</v>
      </c>
    </row>
    <row r="75" spans="1:11" ht="21.75" customHeight="1" x14ac:dyDescent="0.25">
      <c r="C75" s="1">
        <v>0.14216494290241372</v>
      </c>
      <c r="D75" s="1">
        <v>9.6524830549210655E-2</v>
      </c>
      <c r="E75" s="1">
        <v>9.0896979509563977E-2</v>
      </c>
      <c r="F75" s="1">
        <v>8.0488348591285425E-2</v>
      </c>
      <c r="G75" s="1">
        <v>6.743749128946111E-2</v>
      </c>
      <c r="H75" s="1">
        <v>5.2348884569775773E-2</v>
      </c>
      <c r="I75" s="1">
        <v>3.5705510595998864E-2</v>
      </c>
      <c r="J75" s="1">
        <v>1.805674463498089E-2</v>
      </c>
      <c r="K75" s="1">
        <v>0.4163762673573092</v>
      </c>
    </row>
    <row r="76" spans="1:11" ht="21.75" customHeight="1" x14ac:dyDescent="0.25">
      <c r="C76" s="1">
        <v>0.12099888680534913</v>
      </c>
      <c r="D76" s="1">
        <v>8.2545785910398461E-2</v>
      </c>
      <c r="E76" s="1">
        <v>7.8164306912212239E-2</v>
      </c>
      <c r="F76" s="1">
        <v>6.9650702881715224E-2</v>
      </c>
      <c r="G76" s="1">
        <v>5.8715419042798783E-2</v>
      </c>
      <c r="H76" s="1">
        <v>4.5815346020228395E-2</v>
      </c>
      <c r="I76" s="1">
        <v>3.1365238458724243E-2</v>
      </c>
      <c r="J76" s="1">
        <v>1.5892018992255071E-2</v>
      </c>
      <c r="K76" s="1">
        <v>0.49685229497631794</v>
      </c>
    </row>
    <row r="77" spans="1:11" ht="21.75" customHeight="1" x14ac:dyDescent="0.25">
      <c r="C77" s="1">
        <v>9.6317408720947795E-2</v>
      </c>
      <c r="D77" s="1">
        <v>6.6046558967576413E-2</v>
      </c>
      <c r="E77" s="1">
        <v>6.2911753103059354E-2</v>
      </c>
      <c r="F77" s="1">
        <v>5.6433258836376281E-2</v>
      </c>
      <c r="G77" s="1">
        <v>4.7877773333228561E-2</v>
      </c>
      <c r="H77" s="1">
        <v>3.7559138795226335E-2</v>
      </c>
      <c r="I77" s="1">
        <v>2.5810623248787978E-2</v>
      </c>
      <c r="J77" s="1">
        <v>1.3102939219679106E-2</v>
      </c>
      <c r="K77" s="1">
        <v>0.59394054577511768</v>
      </c>
    </row>
    <row r="78" spans="1:11" ht="21.75" customHeight="1" x14ac:dyDescent="0.25">
      <c r="C78" s="1">
        <v>6.9114125569588569E-2</v>
      </c>
      <c r="D78" s="1">
        <v>4.7627337446501675E-2</v>
      </c>
      <c r="E78" s="1">
        <v>4.5622504672433999E-2</v>
      </c>
      <c r="F78" s="1">
        <v>4.1180705027223381E-2</v>
      </c>
      <c r="G78" s="1">
        <v>3.5145100735876809E-2</v>
      </c>
      <c r="H78" s="1">
        <v>2.7706274649392699E-2</v>
      </c>
      <c r="I78" s="1">
        <v>1.9105478352972691E-2</v>
      </c>
      <c r="J78" s="1">
        <v>9.7160132680211564E-3</v>
      </c>
      <c r="K78" s="1">
        <v>0.70478246027798863</v>
      </c>
    </row>
    <row r="79" spans="1:11" ht="21.75" customHeight="1" x14ac:dyDescent="0.25">
      <c r="C79" s="1">
        <v>4.0848108590284843E-2</v>
      </c>
      <c r="D79" s="1">
        <v>2.8266016979303719E-2</v>
      </c>
      <c r="E79" s="1">
        <v>2.7203283151359253E-2</v>
      </c>
      <c r="F79" s="1">
        <v>2.4681478084401333E-2</v>
      </c>
      <c r="G79" s="1">
        <v>2.1166056097064602E-2</v>
      </c>
      <c r="H79" s="1">
        <v>1.6752329556059577E-2</v>
      </c>
      <c r="I79" s="1">
        <v>1.1583913163172838E-2</v>
      </c>
      <c r="J79" s="1">
        <v>5.8991854719546016E-3</v>
      </c>
      <c r="K79" s="1">
        <v>0.82359962890639893</v>
      </c>
    </row>
    <row r="80" spans="1:11" ht="21.75" customHeight="1" x14ac:dyDescent="0.25"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</row>
    <row r="82" spans="1:11" ht="21.75" customHeight="1" x14ac:dyDescent="0.25">
      <c r="A82" s="1">
        <v>70</v>
      </c>
      <c r="C82" s="1" cm="1">
        <f t="array" ref="C82:K90">MMULT(_xlfn.ANCHORARRAY(C72),_xlfn.ANCHORARRAY(C72))</f>
        <v>0.10225343304243328</v>
      </c>
      <c r="D82" s="1">
        <v>6.923350432393581E-2</v>
      </c>
      <c r="E82" s="1">
        <v>6.4984738705912121E-2</v>
      </c>
      <c r="F82" s="1">
        <v>5.7328517086579364E-2</v>
      </c>
      <c r="G82" s="1">
        <v>4.785690499201925E-2</v>
      </c>
      <c r="H82" s="1">
        <v>3.7032893458779255E-2</v>
      </c>
      <c r="I82" s="1">
        <v>2.5201987365073161E-2</v>
      </c>
      <c r="J82" s="1">
        <v>1.2730147585483916E-2</v>
      </c>
      <c r="K82" s="1">
        <v>0.58337787343978342</v>
      </c>
    </row>
    <row r="83" spans="1:11" ht="21.75" customHeight="1" x14ac:dyDescent="0.25">
      <c r="C83" s="1">
        <v>9.9124148214859251E-2</v>
      </c>
      <c r="D83" s="1">
        <v>6.711594745049769E-2</v>
      </c>
      <c r="E83" s="1">
        <v>6.2998470457644118E-2</v>
      </c>
      <c r="F83" s="1">
        <v>5.5577621394490552E-2</v>
      </c>
      <c r="G83" s="1">
        <v>4.6396404341468162E-2</v>
      </c>
      <c r="H83" s="1">
        <v>3.5903463360916064E-2</v>
      </c>
      <c r="I83" s="1">
        <v>2.4433741192448507E-2</v>
      </c>
      <c r="J83" s="1">
        <v>1.2342182562407909E-2</v>
      </c>
      <c r="K83" s="1">
        <v>0.5961080210252675</v>
      </c>
    </row>
    <row r="84" spans="1:11" ht="21.75" customHeight="1" x14ac:dyDescent="0.25">
      <c r="C84" s="1">
        <v>9.2929980393635578E-2</v>
      </c>
      <c r="D84" s="1">
        <v>6.2924188782883306E-2</v>
      </c>
      <c r="E84" s="1">
        <v>5.9066352570237665E-2</v>
      </c>
      <c r="F84" s="1">
        <v>5.211120631758772E-2</v>
      </c>
      <c r="G84" s="1">
        <v>4.3504703893888309E-2</v>
      </c>
      <c r="H84" s="1">
        <v>3.3667123728102058E-2</v>
      </c>
      <c r="I84" s="1">
        <v>2.2912499533541283E-2</v>
      </c>
      <c r="J84" s="1">
        <v>1.1573936389783259E-2</v>
      </c>
      <c r="K84" s="1">
        <v>0.62131000839034056</v>
      </c>
    </row>
    <row r="85" spans="1:11" ht="21.75" customHeight="1" x14ac:dyDescent="0.25">
      <c r="C85" s="1">
        <v>8.3830577569876455E-2</v>
      </c>
      <c r="D85" s="1">
        <v>5.6765739744318151E-2</v>
      </c>
      <c r="E85" s="1">
        <v>5.3288655683973354E-2</v>
      </c>
      <c r="F85" s="1">
        <v>4.7017075534410979E-2</v>
      </c>
      <c r="G85" s="1">
        <v>3.9254562941955423E-2</v>
      </c>
      <c r="H85" s="1">
        <v>3.037982048369816E-2</v>
      </c>
      <c r="I85" s="1">
        <v>2.0676159900727277E-2</v>
      </c>
      <c r="J85" s="1">
        <v>1.0444506291920065E-2</v>
      </c>
      <c r="K85" s="1">
        <v>0.65834290184911959</v>
      </c>
    </row>
    <row r="86" spans="1:11" ht="21.75" customHeight="1" x14ac:dyDescent="0.25">
      <c r="C86" s="1">
        <v>7.2076205254238565E-2</v>
      </c>
      <c r="D86" s="1">
        <v>4.8809268187859432E-2</v>
      </c>
      <c r="E86" s="1">
        <v>4.5822834562002257E-2</v>
      </c>
      <c r="F86" s="1">
        <v>4.0433256840890365E-2</v>
      </c>
      <c r="G86" s="1">
        <v>3.3760483687588355E-2</v>
      </c>
      <c r="H86" s="1">
        <v>2.6129679531765298E-2</v>
      </c>
      <c r="I86" s="1">
        <v>1.7784459453147407E-2</v>
      </c>
      <c r="J86" s="1">
        <v>8.9840056413689837E-3</v>
      </c>
      <c r="K86" s="1">
        <v>0.7061998068411387</v>
      </c>
    </row>
    <row r="87" spans="1:11" ht="21.75" customHeight="1" x14ac:dyDescent="0.25">
      <c r="C87" s="1">
        <v>5.8001903619270136E-2</v>
      </c>
      <c r="D87" s="1">
        <v>3.9280846997765261E-2</v>
      </c>
      <c r="E87" s="1">
        <v>3.688023276283639E-2</v>
      </c>
      <c r="F87" s="1">
        <v>3.2545324624228461E-2</v>
      </c>
      <c r="G87" s="1">
        <v>2.7176664994067744E-2</v>
      </c>
      <c r="H87" s="1">
        <v>2.103554874858856E-2</v>
      </c>
      <c r="I87" s="1">
        <v>1.4318044376244564E-2</v>
      </c>
      <c r="J87" s="1">
        <v>7.2331099492801594E-3</v>
      </c>
      <c r="K87" s="1">
        <v>0.76352832392771808</v>
      </c>
    </row>
    <row r="88" spans="1:11" ht="21.75" customHeight="1" x14ac:dyDescent="0.25">
      <c r="C88" s="1">
        <v>4.2055385325293952E-2</v>
      </c>
      <c r="D88" s="1">
        <v>2.8483076394425808E-2</v>
      </c>
      <c r="E88" s="1">
        <v>2.6744288897315664E-2</v>
      </c>
      <c r="F88" s="1">
        <v>2.3602722825062598E-2</v>
      </c>
      <c r="G88" s="1">
        <v>1.971084387209663E-2</v>
      </c>
      <c r="H88" s="1">
        <v>1.5257851862324265E-2</v>
      </c>
      <c r="I88" s="1">
        <v>1.0385926488838092E-2</v>
      </c>
      <c r="J88" s="1">
        <v>5.2468417010121688E-3</v>
      </c>
      <c r="K88" s="1">
        <v>0.82851306263363034</v>
      </c>
    </row>
    <row r="89" spans="1:11" ht="21.75" customHeight="1" x14ac:dyDescent="0.25">
      <c r="C89" s="1">
        <v>2.5073116200899213E-2</v>
      </c>
      <c r="D89" s="1">
        <v>1.6982269124394728E-2</v>
      </c>
      <c r="E89" s="1">
        <v>1.5946518293976194E-2</v>
      </c>
      <c r="F89" s="1">
        <v>1.4074301634968433E-2</v>
      </c>
      <c r="G89" s="1">
        <v>1.1754372315637907E-2</v>
      </c>
      <c r="H89" s="1">
        <v>9.0994028237591108E-3</v>
      </c>
      <c r="I89" s="1">
        <v>6.1941678212236928E-3</v>
      </c>
      <c r="J89" s="1">
        <v>3.1292848275740366E-3</v>
      </c>
      <c r="K89" s="1">
        <v>0.89774656695756638</v>
      </c>
    </row>
    <row r="90" spans="1:11" ht="21.75" customHeight="1" x14ac:dyDescent="0.25"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</row>
    <row r="92" spans="1:11" ht="21.75" customHeight="1" x14ac:dyDescent="0.25">
      <c r="A92" s="1">
        <v>140</v>
      </c>
      <c r="C92" s="1" cm="1">
        <f t="array" ref="C92:K100">MMULT(_xlfn.ANCHORARRAY(C82),_xlfn.ANCHORARRAY(C82))</f>
        <v>3.5139776088864684E-2</v>
      </c>
      <c r="D92" s="1">
        <v>2.3794004239837196E-2</v>
      </c>
      <c r="E92" s="1">
        <v>2.2335620133838149E-2</v>
      </c>
      <c r="F92" s="1">
        <v>1.9705985048735011E-2</v>
      </c>
      <c r="G92" s="1">
        <v>1.6451756320360229E-2</v>
      </c>
      <c r="H92" s="1">
        <v>1.2731800130850049E-2</v>
      </c>
      <c r="I92" s="1">
        <v>8.6648660924952166E-3</v>
      </c>
      <c r="J92" s="1">
        <v>4.3769679235615535E-3</v>
      </c>
      <c r="K92" s="1">
        <v>0.85679922402145725</v>
      </c>
    </row>
    <row r="93" spans="1:11" ht="21.75" customHeight="1" x14ac:dyDescent="0.25">
      <c r="C93" s="1">
        <v>3.4065719663137192E-2</v>
      </c>
      <c r="D93" s="1">
        <v>2.3066734362283937E-2</v>
      </c>
      <c r="E93" s="1">
        <v>2.1652926221013381E-2</v>
      </c>
      <c r="F93" s="1">
        <v>1.9103666681012214E-2</v>
      </c>
      <c r="G93" s="1">
        <v>1.5948904334130223E-2</v>
      </c>
      <c r="H93" s="1">
        <v>1.2342649565766447E-2</v>
      </c>
      <c r="I93" s="1">
        <v>8.4000223759940502E-3</v>
      </c>
      <c r="J93" s="1">
        <v>4.2431848516430925E-3</v>
      </c>
      <c r="K93" s="1">
        <v>0.86117619194501893</v>
      </c>
    </row>
    <row r="94" spans="1:11" ht="21.75" customHeight="1" x14ac:dyDescent="0.25">
      <c r="C94" s="1">
        <v>3.1939463534419413E-2</v>
      </c>
      <c r="D94" s="1">
        <v>2.1626994315565508E-2</v>
      </c>
      <c r="E94" s="1">
        <v>2.0301430982625483E-2</v>
      </c>
      <c r="F94" s="1">
        <v>1.7911286903217805E-2</v>
      </c>
      <c r="G94" s="1">
        <v>1.4953433202796707E-2</v>
      </c>
      <c r="H94" s="1">
        <v>1.1572267489217176E-2</v>
      </c>
      <c r="I94" s="1">
        <v>7.8757243995013354E-3</v>
      </c>
      <c r="J94" s="1">
        <v>3.978341135141927E-3</v>
      </c>
      <c r="K94" s="1">
        <v>0.86984105803751421</v>
      </c>
    </row>
    <row r="95" spans="1:11" ht="21.75" customHeight="1" x14ac:dyDescent="0.25">
      <c r="C95" s="1">
        <v>2.8815229823029621E-2</v>
      </c>
      <c r="D95" s="1">
        <v>1.9511499193087527E-2</v>
      </c>
      <c r="E95" s="1">
        <v>1.8315599129829725E-2</v>
      </c>
      <c r="F95" s="1">
        <v>1.615925276130439E-2</v>
      </c>
      <c r="G95" s="1">
        <v>1.349072854847112E-2</v>
      </c>
      <c r="H95" s="1">
        <v>1.0440299482902531E-2</v>
      </c>
      <c r="I95" s="1">
        <v>7.1053423229520633E-3</v>
      </c>
      <c r="J95" s="1">
        <v>3.5891905700583225E-3</v>
      </c>
      <c r="K95" s="1">
        <v>0.88257285816836406</v>
      </c>
    </row>
    <row r="96" spans="1:11" ht="21.75" customHeight="1" x14ac:dyDescent="0.25">
      <c r="C96" s="1">
        <v>2.4778162971512443E-2</v>
      </c>
      <c r="D96" s="1">
        <v>1.6777902339408887E-2</v>
      </c>
      <c r="E96" s="1">
        <v>1.5749550263045448E-2</v>
      </c>
      <c r="F96" s="1">
        <v>1.3895312152302389E-2</v>
      </c>
      <c r="G96" s="1">
        <v>1.1600653180982096E-2</v>
      </c>
      <c r="H96" s="1">
        <v>8.9775948285769468E-3</v>
      </c>
      <c r="I96" s="1">
        <v>6.1098711916185433E-3</v>
      </c>
      <c r="J96" s="1">
        <v>3.0863385838283161E-3</v>
      </c>
      <c r="K96" s="1">
        <v>0.89902461448872417</v>
      </c>
    </row>
    <row r="97" spans="1:11" ht="21.75" customHeight="1" x14ac:dyDescent="0.25">
      <c r="C97" s="1">
        <v>1.9942547170821699E-2</v>
      </c>
      <c r="D97" s="1">
        <v>1.3503588337779763E-2</v>
      </c>
      <c r="E97" s="1">
        <v>1.2675925853032965E-2</v>
      </c>
      <c r="F97" s="1">
        <v>1.1183554212332346E-2</v>
      </c>
      <c r="G97" s="1">
        <v>9.3367125719800974E-3</v>
      </c>
      <c r="H97" s="1">
        <v>7.2255606866635314E-3</v>
      </c>
      <c r="I97" s="1">
        <v>4.9174914138241255E-3</v>
      </c>
      <c r="J97" s="1">
        <v>2.4840202161055215E-3</v>
      </c>
      <c r="K97" s="1">
        <v>0.91873059953745917</v>
      </c>
    </row>
    <row r="98" spans="1:11" ht="21.75" customHeight="1" x14ac:dyDescent="0.25">
      <c r="C98" s="1">
        <v>1.4461650437006458E-2</v>
      </c>
      <c r="D98" s="1">
        <v>9.7923386895726293E-3</v>
      </c>
      <c r="E98" s="1">
        <v>9.1921463820223859E-3</v>
      </c>
      <c r="F98" s="1">
        <v>8.1099298023198669E-3</v>
      </c>
      <c r="G98" s="1">
        <v>6.7706637051958216E-3</v>
      </c>
      <c r="H98" s="1">
        <v>5.2397288338677777E-3</v>
      </c>
      <c r="I98" s="1">
        <v>3.5659961754362177E-3</v>
      </c>
      <c r="J98" s="1">
        <v>1.8013263032807534E-3</v>
      </c>
      <c r="K98" s="1">
        <v>0.94106621967129755</v>
      </c>
    </row>
    <row r="99" spans="1:11" ht="21.75" customHeight="1" x14ac:dyDescent="0.25">
      <c r="C99" s="1">
        <v>8.6228839115147678E-3</v>
      </c>
      <c r="D99" s="1">
        <v>5.8387665254916879E-3</v>
      </c>
      <c r="E99" s="1">
        <v>5.4808967338152463E-3</v>
      </c>
      <c r="F99" s="1">
        <v>4.8356158006907443E-3</v>
      </c>
      <c r="G99" s="1">
        <v>4.0370668515171794E-3</v>
      </c>
      <c r="H99" s="1">
        <v>3.1242337113897966E-3</v>
      </c>
      <c r="I99" s="1">
        <v>2.1262561287177816E-3</v>
      </c>
      <c r="J99" s="1">
        <v>1.0740564257274935E-3</v>
      </c>
      <c r="K99" s="1">
        <v>0.96486022391113502</v>
      </c>
    </row>
    <row r="100" spans="1:11" ht="21.75" customHeight="1" x14ac:dyDescent="0.25"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</row>
    <row r="102" spans="1:11" ht="21.75" customHeight="1" x14ac:dyDescent="0.25">
      <c r="A102" s="1">
        <v>280</v>
      </c>
      <c r="C102" s="1" cm="1">
        <f t="array" ref="C102:K110">MMULT(_xlfn.ANCHORARRAY(C92),_xlfn.ANCHORARRAY(C92))</f>
        <v>4.1511831292800677E-3</v>
      </c>
      <c r="D102" s="1">
        <v>2.8108679434006899E-3</v>
      </c>
      <c r="E102" s="1">
        <v>2.6385840260452699E-3</v>
      </c>
      <c r="F102" s="1">
        <v>2.3279361794348516E-3</v>
      </c>
      <c r="G102" s="1">
        <v>1.9435029136135578E-3</v>
      </c>
      <c r="H102" s="1">
        <v>1.5040516345511481E-3</v>
      </c>
      <c r="I102" s="1">
        <v>1.0236106444461632E-3</v>
      </c>
      <c r="J102" s="1">
        <v>5.1706638414652432E-4</v>
      </c>
      <c r="K102" s="1">
        <v>0.98308319714508097</v>
      </c>
    </row>
    <row r="103" spans="1:11" ht="21.75" customHeight="1" x14ac:dyDescent="0.25">
      <c r="C103" s="1">
        <v>4.0243011605655792E-3</v>
      </c>
      <c r="D103" s="1">
        <v>2.7249530494179285E-3</v>
      </c>
      <c r="E103" s="1">
        <v>2.5579350338382485E-3</v>
      </c>
      <c r="F103" s="1">
        <v>2.2567822177112689E-3</v>
      </c>
      <c r="G103" s="1">
        <v>1.8840992524880619E-3</v>
      </c>
      <c r="H103" s="1">
        <v>1.4580799135991058E-3</v>
      </c>
      <c r="I103" s="1">
        <v>9.9232372461640446E-4</v>
      </c>
      <c r="J103" s="1">
        <v>5.0126211853515157E-4</v>
      </c>
      <c r="K103" s="1">
        <v>0.98360026352922758</v>
      </c>
    </row>
    <row r="104" spans="1:11" ht="21.75" customHeight="1" x14ac:dyDescent="0.25">
      <c r="C104" s="1">
        <v>3.7731192277489396E-3</v>
      </c>
      <c r="D104" s="1">
        <v>2.5548716001232157E-3</v>
      </c>
      <c r="E104" s="1">
        <v>2.3982782287972002E-3</v>
      </c>
      <c r="F104" s="1">
        <v>2.1159222530183512E-3</v>
      </c>
      <c r="G104" s="1">
        <v>1.766500774398062E-3</v>
      </c>
      <c r="H104" s="1">
        <v>1.3670719804732793E-3</v>
      </c>
      <c r="I104" s="1">
        <v>9.3038656306114952E-4</v>
      </c>
      <c r="J104" s="1">
        <v>4.6997519870539282E-4</v>
      </c>
      <c r="K104" s="1">
        <v>0.98462387417367392</v>
      </c>
    </row>
    <row r="105" spans="1:11" ht="21.75" customHeight="1" x14ac:dyDescent="0.25">
      <c r="C105" s="1">
        <v>3.4040427642787956E-3</v>
      </c>
      <c r="D105" s="1">
        <v>2.3049608716577516E-3</v>
      </c>
      <c r="E105" s="1">
        <v>2.1636850464264458E-3</v>
      </c>
      <c r="F105" s="1">
        <v>1.9089483794183654E-3</v>
      </c>
      <c r="G105" s="1">
        <v>1.5937063782556769E-3</v>
      </c>
      <c r="H105" s="1">
        <v>1.2333486440487327E-3</v>
      </c>
      <c r="I105" s="1">
        <v>8.3937862993532287E-4</v>
      </c>
      <c r="J105" s="1">
        <v>4.2400347775334996E-4</v>
      </c>
      <c r="K105" s="1">
        <v>0.98612792580822484</v>
      </c>
    </row>
    <row r="106" spans="1:11" ht="21.75" customHeight="1" x14ac:dyDescent="0.25">
      <c r="C106" s="1">
        <v>2.9271301599356108E-3</v>
      </c>
      <c r="D106" s="1">
        <v>1.9820316465179117E-3</v>
      </c>
      <c r="E106" s="1">
        <v>1.8605488222585161E-3</v>
      </c>
      <c r="F106" s="1">
        <v>1.6415012272442968E-3</v>
      </c>
      <c r="G106" s="1">
        <v>1.3704252058250232E-3</v>
      </c>
      <c r="H106" s="1">
        <v>1.0605542479063478E-3</v>
      </c>
      <c r="I106" s="1">
        <v>7.2178015184532255E-4</v>
      </c>
      <c r="J106" s="1">
        <v>3.6459981662785378E-4</v>
      </c>
      <c r="K106" s="1">
        <v>0.98807142872183829</v>
      </c>
    </row>
    <row r="107" spans="1:11" ht="21.75" customHeight="1" x14ac:dyDescent="0.25">
      <c r="C107" s="1">
        <v>2.3558821837672819E-3</v>
      </c>
      <c r="D107" s="1">
        <v>1.5952256266585684E-3</v>
      </c>
      <c r="E107" s="1">
        <v>1.4974509444036679E-3</v>
      </c>
      <c r="F107" s="1">
        <v>1.3211518738825197E-3</v>
      </c>
      <c r="G107" s="1">
        <v>1.1029780536509549E-3</v>
      </c>
      <c r="H107" s="1">
        <v>8.5358037430636156E-4</v>
      </c>
      <c r="I107" s="1">
        <v>5.8092018715240443E-4</v>
      </c>
      <c r="J107" s="1">
        <v>2.9344585490427094E-4</v>
      </c>
      <c r="K107" s="1">
        <v>0.99039936490127312</v>
      </c>
    </row>
    <row r="108" spans="1:11" ht="21.75" customHeight="1" x14ac:dyDescent="0.25">
      <c r="C108" s="1">
        <v>1.7084049040446238E-3</v>
      </c>
      <c r="D108" s="1">
        <v>1.1568028751264439E-3</v>
      </c>
      <c r="E108" s="1">
        <v>1.0859000312547842E-3</v>
      </c>
      <c r="F108" s="1">
        <v>9.5805399602767207E-4</v>
      </c>
      <c r="G108" s="1">
        <v>7.9984182948302548E-4</v>
      </c>
      <c r="H108" s="1">
        <v>6.1898719193560715E-4</v>
      </c>
      <c r="I108" s="1">
        <v>4.2126338211135521E-4</v>
      </c>
      <c r="J108" s="1">
        <v>2.1279686269725032E-4</v>
      </c>
      <c r="K108" s="1">
        <v>0.99303794892731867</v>
      </c>
    </row>
    <row r="109" spans="1:11" ht="21.75" customHeight="1" x14ac:dyDescent="0.25">
      <c r="C109" s="1">
        <v>1.0186511908075692E-3</v>
      </c>
      <c r="D109" s="1">
        <v>6.8975371323705414E-4</v>
      </c>
      <c r="E109" s="1">
        <v>6.4747727972265902E-4</v>
      </c>
      <c r="F109" s="1">
        <v>5.7124797616832877E-4</v>
      </c>
      <c r="G109" s="1">
        <v>4.7691260434318456E-4</v>
      </c>
      <c r="H109" s="1">
        <v>3.6907646347014424E-4</v>
      </c>
      <c r="I109" s="1">
        <v>2.5118193281664105E-4</v>
      </c>
      <c r="J109" s="1">
        <v>1.2688196871448888E-4</v>
      </c>
      <c r="K109" s="1">
        <v>0.99584881687071958</v>
      </c>
    </row>
    <row r="110" spans="1:11" ht="21.75" customHeight="1" x14ac:dyDescent="0.25"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Sylvain Bérubé</cp:lastModifiedBy>
  <dcterms:created xsi:type="dcterms:W3CDTF">2015-06-05T18:19:34Z</dcterms:created>
  <dcterms:modified xsi:type="dcterms:W3CDTF">2021-06-07T16:50:19Z</dcterms:modified>
</cp:coreProperties>
</file>