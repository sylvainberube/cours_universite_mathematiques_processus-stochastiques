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erubesy\Dropbox\A Sylvain Bérubé\A-4 Enseignement\Université de Sherbrooke\Cours\2024-05 STT489\Notes de cours\Solutions\"/>
    </mc:Choice>
  </mc:AlternateContent>
  <bookViews>
    <workbookView xWindow="-120" yWindow="-120" windowWidth="21840" windowHeight="13740"/>
  </bookViews>
  <sheets>
    <sheet name="Monte carlo" sheetId="2" r:id="rId1"/>
    <sheet name="Fct masse conjointe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" i="2" l="1"/>
  <c r="H2" i="2" l="1"/>
  <c r="J4" i="1"/>
  <c r="J8" i="1"/>
  <c r="J7" i="1"/>
  <c r="J6" i="1"/>
  <c r="J5" i="1"/>
  <c r="J9" i="1"/>
  <c r="J3" i="1"/>
  <c r="I9" i="1"/>
  <c r="H9" i="1"/>
  <c r="G9" i="1"/>
  <c r="F9" i="1"/>
  <c r="E9" i="1"/>
  <c r="D9" i="1"/>
  <c r="C9" i="1"/>
  <c r="I8" i="1"/>
  <c r="H8" i="1"/>
  <c r="G8" i="1"/>
  <c r="F8" i="1"/>
  <c r="E8" i="1"/>
  <c r="D8" i="1"/>
  <c r="C8" i="1"/>
  <c r="I7" i="1"/>
  <c r="H7" i="1"/>
  <c r="G7" i="1"/>
  <c r="F7" i="1"/>
  <c r="E7" i="1"/>
  <c r="D7" i="1"/>
  <c r="C7" i="1"/>
  <c r="I6" i="1"/>
  <c r="H6" i="1"/>
  <c r="G6" i="1"/>
  <c r="F6" i="1"/>
  <c r="E6" i="1"/>
  <c r="D6" i="1"/>
  <c r="C6" i="1"/>
  <c r="I5" i="1"/>
  <c r="H5" i="1"/>
  <c r="G5" i="1"/>
  <c r="F5" i="1"/>
  <c r="E5" i="1"/>
  <c r="D5" i="1"/>
  <c r="C5" i="1"/>
  <c r="I4" i="1"/>
  <c r="H4" i="1"/>
  <c r="G4" i="1"/>
  <c r="F4" i="1"/>
  <c r="E4" i="1"/>
  <c r="D4" i="1"/>
  <c r="C4" i="1"/>
  <c r="I3" i="1"/>
  <c r="H3" i="1"/>
  <c r="G3" i="1"/>
  <c r="F3" i="1"/>
  <c r="E3" i="1"/>
  <c r="D3" i="1"/>
  <c r="C3" i="1"/>
  <c r="E2" i="2" l="1"/>
  <c r="F2" i="2"/>
  <c r="C2" i="2"/>
  <c r="B2" i="2" s="1"/>
  <c r="G2" i="2"/>
  <c r="D2" i="2"/>
</calcChain>
</file>

<file path=xl/sharedStrings.xml><?xml version="1.0" encoding="utf-8"?>
<sst xmlns="http://schemas.openxmlformats.org/spreadsheetml/2006/main" count="6" uniqueCount="5">
  <si>
    <t>Y : Résultat du dé</t>
  </si>
  <si>
    <t>X : Nombre de faces</t>
  </si>
  <si>
    <t>Total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</si>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</sst>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" x14ac:knownFonts="1">
    <font>
      <sz val="12"/>
      <color theme="1"/>
      <name val="Cambria"/>
      <family val="2"/>
    </font>
    <font>
      <sz val="11"/>
      <color theme="1"/>
      <name val="Cambria"/>
      <family val="2"/>
    </font>
    <font>
      <b/>
      <sz val="11"/>
      <color theme="1"/>
      <name val="Cambria"/>
      <family val="1"/>
    </font>
    <font>
      <sz val="12"/>
      <name val="Cambri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0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zoomScale="127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11.54296875" defaultRowHeight="15" x14ac:dyDescent="0.25"/>
  <cols>
    <col min="1" max="2" width="11.54296875" style="7"/>
    <col min="3" max="8" width="6.90625" style="7" customWidth="1"/>
    <col min="9" max="16384" width="11.54296875" style="7"/>
  </cols>
  <sheetData>
    <row r="1" spans="1:8" x14ac:dyDescent="0.25">
      <c r="A1" s="8" t="s">
        <v>3</v>
      </c>
      <c r="B1" s="8" t="s">
        <v>4</v>
      </c>
      <c r="C1" s="10">
        <v>1</v>
      </c>
      <c r="D1" s="10">
        <v>2</v>
      </c>
      <c r="E1" s="10">
        <v>3</v>
      </c>
      <c r="F1" s="10">
        <v>4</v>
      </c>
      <c r="G1" s="10">
        <v>5</v>
      </c>
      <c r="H1" s="10">
        <v>6</v>
      </c>
    </row>
    <row r="2" spans="1:8" x14ac:dyDescent="0.25">
      <c r="A2" s="11">
        <f ca="1">RANDBETWEEN(1,6)</f>
        <v>3</v>
      </c>
      <c r="B2" s="11">
        <f ca="1">COUNTIF(C2:H2,"face")</f>
        <v>3</v>
      </c>
      <c r="C2" s="9" t="str">
        <f ca="1">IF($A2&gt;=C$1,IF(RAND()&lt;0.5,"face","pile"),"")</f>
        <v>face</v>
      </c>
      <c r="D2" s="9" t="str">
        <f t="shared" ref="D2:H17" ca="1" si="0">IF($A2&gt;=D$1,IF(RAND()&lt;0.5,"face","pile"),"")</f>
        <v>face</v>
      </c>
      <c r="E2" s="9" t="str">
        <f t="shared" ca="1" si="0"/>
        <v>face</v>
      </c>
      <c r="F2" s="9" t="str">
        <f t="shared" ca="1" si="0"/>
        <v/>
      </c>
      <c r="G2" s="9" t="str">
        <f t="shared" ca="1" si="0"/>
        <v/>
      </c>
      <c r="H2" s="9" t="str">
        <f t="shared" ca="1" si="0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="175" zoomScaleNormal="175" workbookViewId="0">
      <selection activeCell="I8" sqref="I8"/>
    </sheetView>
  </sheetViews>
  <sheetFormatPr baseColWidth="10" defaultColWidth="11.54296875" defaultRowHeight="21" customHeight="1" x14ac:dyDescent="0.25"/>
  <cols>
    <col min="1" max="1" width="4.36328125" style="1" customWidth="1"/>
    <col min="2" max="10" width="7.54296875" style="1" customWidth="1"/>
    <col min="11" max="16384" width="11.54296875" style="1"/>
  </cols>
  <sheetData>
    <row r="1" spans="1:10" ht="21" customHeight="1" x14ac:dyDescent="0.25">
      <c r="C1" s="12" t="s">
        <v>1</v>
      </c>
      <c r="D1" s="13"/>
      <c r="E1" s="13"/>
      <c r="F1" s="13"/>
      <c r="G1" s="13"/>
      <c r="H1" s="13"/>
      <c r="I1" s="13"/>
      <c r="J1" s="13"/>
    </row>
    <row r="2" spans="1:10" ht="21" customHeight="1" x14ac:dyDescent="0.25"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 t="s">
        <v>2</v>
      </c>
    </row>
    <row r="3" spans="1:10" ht="21" customHeight="1" x14ac:dyDescent="0.25">
      <c r="A3" s="14" t="s">
        <v>0</v>
      </c>
      <c r="B3" s="2">
        <v>1</v>
      </c>
      <c r="C3" s="3">
        <f>IF(C$2&gt;$B3,0,(1/6)*_xlfn.BINOM.DIST(C$2,$B3,0.5,0))</f>
        <v>8.3333333333333329E-2</v>
      </c>
      <c r="D3" s="3">
        <f t="shared" ref="D3:I8" si="0">IF(D$2&gt;$B3,0,(1/6)*_xlfn.BINOM.DIST(D$2,$B3,0.5,0))</f>
        <v>8.3333333333333329E-2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4">
        <f>SUM(C3:I3)</f>
        <v>0.16666666666666666</v>
      </c>
    </row>
    <row r="4" spans="1:10" ht="21" customHeight="1" x14ac:dyDescent="0.25">
      <c r="A4" s="15"/>
      <c r="B4" s="2">
        <v>2</v>
      </c>
      <c r="C4" s="3">
        <f t="shared" ref="C4:C8" si="1">IF(C$2&gt;$B4,0,(1/6)*_xlfn.BINOM.DIST(C$2,$B4,0.5,0))</f>
        <v>4.1666666666666664E-2</v>
      </c>
      <c r="D4" s="3">
        <f t="shared" si="0"/>
        <v>8.3333333333333315E-2</v>
      </c>
      <c r="E4" s="3">
        <f t="shared" si="0"/>
        <v>4.1666666666666664E-2</v>
      </c>
      <c r="F4" s="5">
        <f t="shared" si="0"/>
        <v>0</v>
      </c>
      <c r="G4" s="5">
        <f t="shared" si="0"/>
        <v>0</v>
      </c>
      <c r="H4" s="5">
        <f t="shared" si="0"/>
        <v>0</v>
      </c>
      <c r="I4" s="5">
        <f t="shared" si="0"/>
        <v>0</v>
      </c>
      <c r="J4" s="4">
        <f>SUM(C4:I4)</f>
        <v>0.16666666666666663</v>
      </c>
    </row>
    <row r="5" spans="1:10" ht="21" customHeight="1" x14ac:dyDescent="0.25">
      <c r="A5" s="15"/>
      <c r="B5" s="2">
        <v>3</v>
      </c>
      <c r="C5" s="3">
        <f t="shared" si="1"/>
        <v>2.0833333333333336E-2</v>
      </c>
      <c r="D5" s="3">
        <f t="shared" si="0"/>
        <v>6.25E-2</v>
      </c>
      <c r="E5" s="3">
        <f t="shared" si="0"/>
        <v>6.25E-2</v>
      </c>
      <c r="F5" s="3">
        <f t="shared" si="0"/>
        <v>2.0833333333333336E-2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4">
        <f t="shared" ref="J5:J8" si="2">SUM(C5:I5)</f>
        <v>0.16666666666666669</v>
      </c>
    </row>
    <row r="6" spans="1:10" ht="21" customHeight="1" x14ac:dyDescent="0.25">
      <c r="A6" s="15"/>
      <c r="B6" s="2">
        <v>4</v>
      </c>
      <c r="C6" s="3">
        <f t="shared" si="1"/>
        <v>1.0416666666666666E-2</v>
      </c>
      <c r="D6" s="3">
        <f t="shared" si="0"/>
        <v>4.1666666666666657E-2</v>
      </c>
      <c r="E6" s="3">
        <f t="shared" si="0"/>
        <v>6.25E-2</v>
      </c>
      <c r="F6" s="3">
        <f t="shared" si="0"/>
        <v>4.1666666666666664E-2</v>
      </c>
      <c r="G6" s="3">
        <f t="shared" si="0"/>
        <v>1.0416666666666666E-2</v>
      </c>
      <c r="H6" s="5">
        <f t="shared" si="0"/>
        <v>0</v>
      </c>
      <c r="I6" s="5">
        <f t="shared" si="0"/>
        <v>0</v>
      </c>
      <c r="J6" s="4">
        <f t="shared" si="2"/>
        <v>0.16666666666666663</v>
      </c>
    </row>
    <row r="7" spans="1:10" ht="21" customHeight="1" x14ac:dyDescent="0.25">
      <c r="A7" s="15"/>
      <c r="B7" s="2">
        <v>5</v>
      </c>
      <c r="C7" s="3">
        <f t="shared" si="1"/>
        <v>5.208333333333333E-3</v>
      </c>
      <c r="D7" s="3">
        <f t="shared" si="0"/>
        <v>2.604166666666665E-2</v>
      </c>
      <c r="E7" s="3">
        <f t="shared" si="0"/>
        <v>5.2083333333333329E-2</v>
      </c>
      <c r="F7" s="3">
        <f t="shared" si="0"/>
        <v>5.2083333333333329E-2</v>
      </c>
      <c r="G7" s="3">
        <f t="shared" si="0"/>
        <v>2.604166666666665E-2</v>
      </c>
      <c r="H7" s="3">
        <f t="shared" si="0"/>
        <v>5.208333333333333E-3</v>
      </c>
      <c r="I7" s="5">
        <f t="shared" si="0"/>
        <v>0</v>
      </c>
      <c r="J7" s="4">
        <f t="shared" si="2"/>
        <v>0.16666666666666663</v>
      </c>
    </row>
    <row r="8" spans="1:10" ht="21" customHeight="1" x14ac:dyDescent="0.25">
      <c r="A8" s="15"/>
      <c r="B8" s="2">
        <v>6</v>
      </c>
      <c r="C8" s="3">
        <f t="shared" si="1"/>
        <v>2.6041666666666678E-3</v>
      </c>
      <c r="D8" s="3">
        <f t="shared" si="0"/>
        <v>1.5625E-2</v>
      </c>
      <c r="E8" s="3">
        <f t="shared" si="0"/>
        <v>3.90625E-2</v>
      </c>
      <c r="F8" s="3">
        <f t="shared" si="0"/>
        <v>5.2083333333333322E-2</v>
      </c>
      <c r="G8" s="3">
        <f t="shared" si="0"/>
        <v>3.90625E-2</v>
      </c>
      <c r="H8" s="3">
        <f t="shared" si="0"/>
        <v>1.5625E-2</v>
      </c>
      <c r="I8" s="3">
        <f t="shared" si="0"/>
        <v>2.6041666666666678E-3</v>
      </c>
      <c r="J8" s="4">
        <f t="shared" si="2"/>
        <v>0.16666666666666666</v>
      </c>
    </row>
    <row r="9" spans="1:10" ht="21" customHeight="1" x14ac:dyDescent="0.25">
      <c r="A9" s="15"/>
      <c r="B9" s="2" t="s">
        <v>2</v>
      </c>
      <c r="C9" s="4">
        <f>SUM(C3:C8)</f>
        <v>0.1640625</v>
      </c>
      <c r="D9" s="4">
        <f t="shared" ref="D9:J9" si="3">SUM(D3:D8)</f>
        <v>0.31249999999999989</v>
      </c>
      <c r="E9" s="4">
        <f t="shared" si="3"/>
        <v>0.2578125</v>
      </c>
      <c r="F9" s="4">
        <f t="shared" si="3"/>
        <v>0.16666666666666666</v>
      </c>
      <c r="G9" s="4">
        <f t="shared" si="3"/>
        <v>7.5520833333333315E-2</v>
      </c>
      <c r="H9" s="4">
        <f t="shared" si="3"/>
        <v>2.0833333333333332E-2</v>
      </c>
      <c r="I9" s="4">
        <f t="shared" si="3"/>
        <v>2.6041666666666678E-3</v>
      </c>
      <c r="J9" s="6">
        <f t="shared" si="3"/>
        <v>0.99999999999999978</v>
      </c>
    </row>
  </sheetData>
  <mergeCells count="2">
    <mergeCell ref="C1:J1"/>
    <mergeCell ref="A3:A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Monte carlo</vt:lpstr>
      <vt:lpstr>Fct masse conjointe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Bérubé</dc:creator>
  <cp:lastModifiedBy>Service de l'informatique</cp:lastModifiedBy>
  <dcterms:created xsi:type="dcterms:W3CDTF">2021-04-30T03:17:25Z</dcterms:created>
  <dcterms:modified xsi:type="dcterms:W3CDTF">2024-05-03T21:14:10Z</dcterms:modified>
</cp:coreProperties>
</file>