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Dropbox\A Sylvain Bérubé\A-4 Enseignement\Université de Sherbrooke\Cours\2024-05 STT489\Évaluations\Devoir 0\"/>
    </mc:Choice>
  </mc:AlternateContent>
  <xr:revisionPtr revIDLastSave="0" documentId="13_ncr:1_{A5B15CB9-69B0-4726-A47C-BF12FE26983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Q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A27" i="1"/>
  <c r="B23" i="1"/>
  <c r="B18" i="1"/>
  <c r="B17" i="1"/>
  <c r="B16" i="1"/>
  <c r="J15" i="1"/>
  <c r="J14" i="1"/>
  <c r="I14" i="1"/>
  <c r="I13" i="1"/>
  <c r="I12" i="1"/>
  <c r="I8" i="1"/>
  <c r="C9" i="1"/>
  <c r="B9" i="1"/>
  <c r="C8" i="1"/>
  <c r="B8" i="1"/>
  <c r="D9" i="1"/>
  <c r="I9" i="1"/>
  <c r="D6" i="1"/>
  <c r="C6" i="1"/>
  <c r="B6" i="1"/>
  <c r="C5" i="1"/>
  <c r="B5" i="1"/>
  <c r="D4" i="1"/>
  <c r="C4" i="1"/>
  <c r="B4" i="1"/>
  <c r="D3" i="1"/>
  <c r="C3" i="1"/>
  <c r="B3" i="1"/>
  <c r="I10" i="1" l="1"/>
  <c r="J10" i="1" s="1"/>
</calcChain>
</file>

<file path=xl/sharedStrings.xml><?xml version="1.0" encoding="utf-8"?>
<sst xmlns="http://schemas.openxmlformats.org/spreadsheetml/2006/main" count="15" uniqueCount="15">
  <si>
    <t>x</t>
  </si>
  <si>
    <t>p(X=x)</t>
  </si>
  <si>
    <t>a)</t>
  </si>
  <si>
    <t>Total</t>
  </si>
  <si>
    <t xml:space="preserve">x^2 </t>
  </si>
  <si>
    <t>x^2 · P(X=x)</t>
  </si>
  <si>
    <t>x · P(X=x)</t>
  </si>
  <si>
    <t>(x - E(X))^2</t>
  </si>
  <si>
    <t>(x - E(X))^2 · P(X=x)</t>
  </si>
  <si>
    <t>b)</t>
  </si>
  <si>
    <t>E(Y)</t>
  </si>
  <si>
    <t>Var(Y)</t>
  </si>
  <si>
    <t>et(Y)</t>
  </si>
  <si>
    <t>c)</t>
  </si>
  <si>
    <t>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</si>
</sst>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6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tabSelected="1" topLeftCell="A8" zoomScale="190" zoomScaleNormal="190" workbookViewId="0">
      <selection activeCell="B27" sqref="B27"/>
    </sheetView>
  </sheetViews>
  <sheetFormatPr baseColWidth="10" defaultColWidth="9.140625" defaultRowHeight="14.25" x14ac:dyDescent="0.2"/>
  <cols>
    <col min="1" max="1" width="19.85546875" style="1" bestFit="1" customWidth="1"/>
    <col min="2" max="2" width="13.42578125" style="1" bestFit="1" customWidth="1"/>
    <col min="3" max="3" width="9.7109375" style="1" bestFit="1" customWidth="1"/>
    <col min="4" max="4" width="14.140625" style="1" bestFit="1" customWidth="1"/>
    <col min="5" max="9" width="9.140625" style="1"/>
    <col min="10" max="10" width="11" style="1" bestFit="1" customWidth="1"/>
    <col min="11" max="16384" width="9.140625" style="1"/>
  </cols>
  <sheetData>
    <row r="1" spans="1:10" x14ac:dyDescent="0.2">
      <c r="A1" s="1" t="s">
        <v>2</v>
      </c>
    </row>
    <row r="2" spans="1:10" x14ac:dyDescent="0.2">
      <c r="A2" s="1" t="s">
        <v>0</v>
      </c>
      <c r="B2" s="1">
        <v>350</v>
      </c>
      <c r="C2" s="1">
        <v>-10</v>
      </c>
      <c r="D2" s="1" t="s">
        <v>3</v>
      </c>
    </row>
    <row r="3" spans="1:10" x14ac:dyDescent="0.2">
      <c r="A3" s="1" t="s">
        <v>1</v>
      </c>
      <c r="B3" s="1">
        <f>1/37</f>
        <v>2.7027027027027029E-2</v>
      </c>
      <c r="C3" s="1">
        <f>36*B3</f>
        <v>0.97297297297297303</v>
      </c>
      <c r="D3" s="1">
        <f>SUM(B3:C3)</f>
        <v>1</v>
      </c>
    </row>
    <row r="4" spans="1:10" x14ac:dyDescent="0.2">
      <c r="A4" s="1" t="s">
        <v>6</v>
      </c>
      <c r="B4" s="1">
        <f>B2*B3</f>
        <v>9.4594594594594597</v>
      </c>
      <c r="C4" s="1">
        <f>C2*C3</f>
        <v>-9.7297297297297298</v>
      </c>
      <c r="D4" s="2">
        <f>SUM(B4:C4)</f>
        <v>-0.27027027027027017</v>
      </c>
    </row>
    <row r="5" spans="1:10" x14ac:dyDescent="0.2">
      <c r="A5" s="1" t="s">
        <v>4</v>
      </c>
      <c r="B5" s="1">
        <f>B2^2</f>
        <v>122500</v>
      </c>
      <c r="C5" s="1">
        <f>C2^2</f>
        <v>100</v>
      </c>
    </row>
    <row r="6" spans="1:10" x14ac:dyDescent="0.2">
      <c r="A6" s="1" t="s">
        <v>5</v>
      </c>
      <c r="B6" s="1">
        <f>B5*B3</f>
        <v>3310.8108108108108</v>
      </c>
      <c r="C6" s="1">
        <f>C5*C3</f>
        <v>97.297297297297305</v>
      </c>
      <c r="D6" s="1">
        <f>SUM(B6:C6)</f>
        <v>3408.1081081081084</v>
      </c>
    </row>
    <row r="8" spans="1:10" x14ac:dyDescent="0.2">
      <c r="A8" s="1" t="s">
        <v>7</v>
      </c>
      <c r="B8" s="2">
        <f>(B2-$D4)^2</f>
        <v>122689.26223520817</v>
      </c>
      <c r="C8" s="2">
        <f>(C2-$D4)^2</f>
        <v>94.667640613586556</v>
      </c>
      <c r="I8" s="1">
        <f>350^2</f>
        <v>122500</v>
      </c>
    </row>
    <row r="9" spans="1:10" x14ac:dyDescent="0.2">
      <c r="A9" s="1" t="s">
        <v>8</v>
      </c>
      <c r="B9" s="1">
        <f>B8*B3</f>
        <v>3315.9260063569777</v>
      </c>
      <c r="C9" s="1">
        <f>C8*C3</f>
        <v>92.109055732138273</v>
      </c>
      <c r="D9" s="2">
        <f>SUM(B9:C9)</f>
        <v>3408.0350620891159</v>
      </c>
      <c r="I9" s="1">
        <f>100*36</f>
        <v>3600</v>
      </c>
    </row>
    <row r="10" spans="1:10" x14ac:dyDescent="0.2">
      <c r="I10" s="1">
        <f>I9+I8</f>
        <v>126100</v>
      </c>
      <c r="J10" s="2">
        <f>I10/37</f>
        <v>3408.1081081081079</v>
      </c>
    </row>
    <row r="12" spans="1:10" x14ac:dyDescent="0.2">
      <c r="I12" s="1">
        <f>I10</f>
        <v>126100</v>
      </c>
    </row>
    <row r="13" spans="1:10" x14ac:dyDescent="0.2">
      <c r="I13" s="1">
        <f>I12*37</f>
        <v>4665700</v>
      </c>
    </row>
    <row r="14" spans="1:10" x14ac:dyDescent="0.2">
      <c r="I14" s="1">
        <f>I13-100</f>
        <v>4665600</v>
      </c>
      <c r="J14" s="2">
        <f>I14/37^2</f>
        <v>3408.0350620891163</v>
      </c>
    </row>
    <row r="15" spans="1:10" x14ac:dyDescent="0.2">
      <c r="A15" s="1" t="s">
        <v>9</v>
      </c>
      <c r="J15" s="2">
        <f>SQRT(J14)</f>
        <v>58.378378378378379</v>
      </c>
    </row>
    <row r="16" spans="1:10" x14ac:dyDescent="0.2">
      <c r="A16" s="1" t="s">
        <v>10</v>
      </c>
      <c r="B16" s="3">
        <f>100*D4</f>
        <v>-27.027027027027017</v>
      </c>
    </row>
    <row r="17" spans="1:2" x14ac:dyDescent="0.2">
      <c r="A17" s="1" t="s">
        <v>11</v>
      </c>
      <c r="B17" s="3">
        <f>100*D9</f>
        <v>340803.5062089116</v>
      </c>
    </row>
    <row r="18" spans="1:2" x14ac:dyDescent="0.2">
      <c r="A18" s="1" t="s">
        <v>12</v>
      </c>
      <c r="B18" s="3">
        <f>SQRT(B17)</f>
        <v>583.78378378378375</v>
      </c>
    </row>
    <row r="22" spans="1:2" x14ac:dyDescent="0.2">
      <c r="A22" s="1" t="s">
        <v>13</v>
      </c>
    </row>
    <row r="23" spans="1:2" x14ac:dyDescent="0.2">
      <c r="B23" s="1">
        <f>SQRT(36*37)</f>
        <v>36.496575181789318</v>
      </c>
    </row>
    <row r="26" spans="1:2" x14ac:dyDescent="0.2">
      <c r="A26" s="1" t="s">
        <v>14</v>
      </c>
    </row>
    <row r="27" spans="1:2" x14ac:dyDescent="0.2">
      <c r="A27" s="1">
        <f>36/37</f>
        <v>0.97297297297297303</v>
      </c>
      <c r="B27" s="1">
        <f>A27^100</f>
        <v>6.4576970935843747E-2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Sylvain</dc:creator>
  <cp:lastModifiedBy>Bérubé, Sylvain</cp:lastModifiedBy>
  <dcterms:created xsi:type="dcterms:W3CDTF">2015-06-05T18:19:34Z</dcterms:created>
  <dcterms:modified xsi:type="dcterms:W3CDTF">2024-03-17T05:23:32Z</dcterms:modified>
</cp:coreProperties>
</file>