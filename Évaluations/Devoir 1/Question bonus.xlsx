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A Sylvain Bérubé\A-4 Enseignement\Université de Sherbrooke\Cours\2021-05 STT489\Évaluations\Devoir 1\"/>
    </mc:Choice>
  </mc:AlternateContent>
  <xr:revisionPtr revIDLastSave="0" documentId="8_{0CEDA612-B67F-44A6-98C3-F8342EA0DEAF}" xr6:coauthVersionLast="45" xr6:coauthVersionMax="45" xr10:uidLastSave="{00000000-0000-0000-0000-000000000000}"/>
  <bookViews>
    <workbookView xWindow="-120" yWindow="-120" windowWidth="29040" windowHeight="16440" activeTab="1" xr2:uid="{159C7823-ECCB-42F7-B9A1-0C8A6AD3A9FA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54" i="2" l="1"/>
  <c r="H54" i="2"/>
  <c r="G54" i="2"/>
  <c r="F54" i="2"/>
  <c r="E54" i="2"/>
  <c r="D54" i="2"/>
  <c r="I54" i="2" s="1"/>
  <c r="C54" i="2"/>
  <c r="H53" i="2"/>
  <c r="G53" i="2"/>
  <c r="F53" i="2"/>
  <c r="E53" i="2"/>
  <c r="D53" i="2"/>
  <c r="C53" i="2"/>
  <c r="I53" i="2" s="1"/>
  <c r="H52" i="2"/>
  <c r="G52" i="2"/>
  <c r="F52" i="2"/>
  <c r="E52" i="2"/>
  <c r="D52" i="2"/>
  <c r="C52" i="2"/>
  <c r="I52" i="2" s="1"/>
  <c r="I51" i="2"/>
  <c r="H51" i="2"/>
  <c r="G51" i="2"/>
  <c r="F51" i="2"/>
  <c r="E51" i="2"/>
  <c r="D51" i="2"/>
  <c r="C51" i="2"/>
  <c r="H50" i="2"/>
  <c r="G50" i="2"/>
  <c r="F50" i="2"/>
  <c r="E50" i="2"/>
  <c r="I50" i="2" s="1"/>
  <c r="D50" i="2"/>
  <c r="C50" i="2"/>
  <c r="H49" i="2"/>
  <c r="G49" i="2"/>
  <c r="F49" i="2"/>
  <c r="E49" i="2"/>
  <c r="D49" i="2"/>
  <c r="C49" i="2"/>
  <c r="I49" i="2" s="1"/>
  <c r="H47" i="2"/>
  <c r="G47" i="2"/>
  <c r="I47" i="2" s="1"/>
  <c r="F47" i="2"/>
  <c r="E47" i="2"/>
  <c r="D47" i="2"/>
  <c r="C47" i="2"/>
  <c r="H46" i="2"/>
  <c r="G46" i="2"/>
  <c r="F46" i="2"/>
  <c r="I46" i="2" s="1"/>
  <c r="E46" i="2"/>
  <c r="D46" i="2"/>
  <c r="C46" i="2"/>
  <c r="H45" i="2"/>
  <c r="G45" i="2"/>
  <c r="F45" i="2"/>
  <c r="E45" i="2"/>
  <c r="D45" i="2"/>
  <c r="C45" i="2"/>
  <c r="I45" i="2" s="1"/>
  <c r="H44" i="2"/>
  <c r="G44" i="2"/>
  <c r="F44" i="2"/>
  <c r="E44" i="2"/>
  <c r="D44" i="2"/>
  <c r="I44" i="2" s="1"/>
  <c r="C44" i="2"/>
  <c r="H43" i="2"/>
  <c r="G43" i="2"/>
  <c r="F43" i="2"/>
  <c r="E43" i="2"/>
  <c r="D43" i="2"/>
  <c r="C43" i="2"/>
  <c r="I43" i="2" s="1"/>
  <c r="H42" i="2"/>
  <c r="G42" i="2"/>
  <c r="F42" i="2"/>
  <c r="E42" i="2"/>
  <c r="D42" i="2"/>
  <c r="C42" i="2"/>
  <c r="I42" i="2" s="1"/>
  <c r="I41" i="2"/>
  <c r="H41" i="2"/>
  <c r="G41" i="2"/>
  <c r="F41" i="2"/>
  <c r="E41" i="2"/>
  <c r="D41" i="2"/>
  <c r="C41" i="2"/>
  <c r="H40" i="2"/>
  <c r="I40" i="2" s="1"/>
  <c r="G40" i="2"/>
  <c r="F40" i="2"/>
  <c r="E40" i="2"/>
  <c r="D40" i="2"/>
  <c r="C40" i="2"/>
  <c r="H39" i="2"/>
  <c r="G39" i="2"/>
  <c r="I39" i="2" s="1"/>
  <c r="F39" i="2"/>
  <c r="E39" i="2"/>
  <c r="D39" i="2"/>
  <c r="C39" i="2"/>
  <c r="H38" i="2"/>
  <c r="G38" i="2"/>
  <c r="F38" i="2"/>
  <c r="I38" i="2" s="1"/>
  <c r="E38" i="2"/>
  <c r="D38" i="2"/>
  <c r="C38" i="2"/>
  <c r="H37" i="2"/>
  <c r="G37" i="2"/>
  <c r="F37" i="2"/>
  <c r="E37" i="2"/>
  <c r="D37" i="2"/>
  <c r="C37" i="2"/>
  <c r="I37" i="2" s="1"/>
  <c r="H36" i="2"/>
  <c r="G36" i="2"/>
  <c r="F36" i="2"/>
  <c r="E36" i="2"/>
  <c r="D36" i="2"/>
  <c r="I36" i="2" s="1"/>
  <c r="C36" i="2"/>
  <c r="H35" i="2"/>
  <c r="G35" i="2"/>
  <c r="F35" i="2"/>
  <c r="E35" i="2"/>
  <c r="D35" i="2"/>
  <c r="C35" i="2"/>
  <c r="I35" i="2" s="1"/>
  <c r="H34" i="2"/>
  <c r="G34" i="2"/>
  <c r="F34" i="2"/>
  <c r="E34" i="2"/>
  <c r="D34" i="2"/>
  <c r="C34" i="2"/>
  <c r="I34" i="2" s="1"/>
  <c r="H33" i="2"/>
  <c r="E33" i="2"/>
  <c r="G33" i="2"/>
  <c r="F33" i="2"/>
  <c r="D33" i="2"/>
  <c r="C33" i="2"/>
  <c r="I33" i="2" l="1"/>
  <c r="J47" i="2" s="1"/>
  <c r="J29" i="2"/>
  <c r="J22" i="2"/>
  <c r="H29" i="2"/>
  <c r="I29" i="2" s="1"/>
  <c r="H28" i="2"/>
  <c r="I28" i="2" s="1"/>
  <c r="H27" i="2"/>
  <c r="I27" i="2" s="1"/>
  <c r="H26" i="2"/>
  <c r="I26" i="2" s="1"/>
  <c r="H25" i="2"/>
  <c r="I25" i="2" s="1"/>
  <c r="H24" i="2"/>
  <c r="H23" i="2"/>
  <c r="H22" i="2"/>
  <c r="H21" i="2"/>
  <c r="I21" i="2" s="1"/>
  <c r="H20" i="2"/>
  <c r="I20" i="2" s="1"/>
  <c r="H19" i="2"/>
  <c r="I19" i="2" s="1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I2" i="2" s="1"/>
  <c r="I24" i="2"/>
  <c r="I23" i="2"/>
  <c r="I22" i="2"/>
  <c r="G29" i="2"/>
  <c r="F29" i="2"/>
  <c r="E29" i="2"/>
  <c r="D29" i="2"/>
  <c r="C29" i="2"/>
  <c r="G28" i="2"/>
  <c r="F28" i="2"/>
  <c r="E28" i="2"/>
  <c r="D28" i="2"/>
  <c r="C28" i="2"/>
  <c r="G27" i="2"/>
  <c r="F27" i="2"/>
  <c r="E27" i="2"/>
  <c r="D27" i="2"/>
  <c r="C27" i="2"/>
  <c r="G26" i="2"/>
  <c r="F26" i="2"/>
  <c r="E26" i="2"/>
  <c r="D26" i="2"/>
  <c r="C26" i="2"/>
  <c r="G25" i="2"/>
  <c r="F25" i="2"/>
  <c r="E25" i="2"/>
  <c r="D25" i="2"/>
  <c r="C25" i="2"/>
  <c r="G24" i="2"/>
  <c r="F24" i="2"/>
  <c r="E24" i="2"/>
  <c r="D24" i="2"/>
  <c r="C24" i="2"/>
  <c r="C23" i="2"/>
  <c r="D23" i="2"/>
  <c r="E23" i="2"/>
  <c r="F23" i="2"/>
  <c r="G23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E2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G3" i="1" l="1"/>
  <c r="I3" i="1"/>
  <c r="H3" i="1"/>
  <c r="D3" i="1"/>
  <c r="I2" i="1"/>
  <c r="G2" i="1"/>
  <c r="D2" i="1"/>
  <c r="H2" i="1"/>
  <c r="J3" i="1" l="1"/>
  <c r="J2" i="1"/>
</calcChain>
</file>

<file path=xl/sharedStrings.xml><?xml version="1.0" encoding="utf-8"?>
<sst xmlns="http://schemas.openxmlformats.org/spreadsheetml/2006/main" count="10" uniqueCount="10">
  <si>
    <t>FGM</t>
  </si>
  <si>
    <t>FGA</t>
  </si>
  <si>
    <t>3PM</t>
  </si>
  <si>
    <t>3PA</t>
  </si>
  <si>
    <t>2PM</t>
  </si>
  <si>
    <t>2PA</t>
  </si>
  <si>
    <t>K. Irving</t>
  </si>
  <si>
    <t>S. Curry</t>
  </si>
  <si>
    <t>k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</si>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</sst>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2"/>
      <color theme="1"/>
      <name val="Cambria"/>
      <family val="2"/>
    </font>
    <font>
      <sz val="12"/>
      <color theme="1"/>
      <name val="Cambri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1B533-0664-4D2F-8520-BD8703F20708}">
  <dimension ref="A1:J3"/>
  <sheetViews>
    <sheetView zoomScale="235" zoomScaleNormal="235" workbookViewId="0">
      <selection activeCell="G3" sqref="G3"/>
    </sheetView>
  </sheetViews>
  <sheetFormatPr baseColWidth="10" defaultRowHeight="15.75" x14ac:dyDescent="0.25"/>
  <cols>
    <col min="1" max="1" width="7.44140625" bestFit="1" customWidth="1"/>
    <col min="2" max="3" width="5" bestFit="1" customWidth="1"/>
    <col min="4" max="4" width="5.88671875" bestFit="1" customWidth="1"/>
    <col min="5" max="5" width="4.44140625" bestFit="1" customWidth="1"/>
    <col min="6" max="6" width="5" bestFit="1" customWidth="1"/>
    <col min="7" max="7" width="5.88671875" bestFit="1" customWidth="1"/>
    <col min="8" max="8" width="4.44140625" customWidth="1"/>
    <col min="9" max="9" width="5" customWidth="1"/>
    <col min="10" max="10" width="5.88671875" customWidth="1"/>
  </cols>
  <sheetData>
    <row r="1" spans="1:10" x14ac:dyDescent="0.25">
      <c r="B1" t="s">
        <v>0</v>
      </c>
      <c r="C1" t="s">
        <v>1</v>
      </c>
      <c r="E1" t="s">
        <v>2</v>
      </c>
      <c r="F1" t="s">
        <v>3</v>
      </c>
      <c r="H1" t="s">
        <v>4</v>
      </c>
      <c r="I1" t="s">
        <v>5</v>
      </c>
    </row>
    <row r="2" spans="1:10" x14ac:dyDescent="0.25">
      <c r="A2" t="s">
        <v>7</v>
      </c>
      <c r="B2">
        <v>10.4</v>
      </c>
      <c r="C2">
        <v>21.7</v>
      </c>
      <c r="D2" s="1">
        <f>B2/C2</f>
        <v>0.47926267281105994</v>
      </c>
      <c r="E2">
        <v>5.3</v>
      </c>
      <c r="F2">
        <v>12.7</v>
      </c>
      <c r="G2" s="1">
        <f>E2/F2</f>
        <v>0.41732283464566933</v>
      </c>
      <c r="H2">
        <f>B2-E2</f>
        <v>5.1000000000000005</v>
      </c>
      <c r="I2">
        <f>C2-F2</f>
        <v>9</v>
      </c>
      <c r="J2" s="1">
        <f>H2/I2</f>
        <v>0.56666666666666676</v>
      </c>
    </row>
    <row r="3" spans="1:10" x14ac:dyDescent="0.25">
      <c r="A3" t="s">
        <v>6</v>
      </c>
      <c r="B3">
        <v>10.199999999999999</v>
      </c>
      <c r="C3">
        <v>20.100000000000001</v>
      </c>
      <c r="D3" s="1">
        <f>B3/C3</f>
        <v>0.50746268656716409</v>
      </c>
      <c r="E3">
        <v>2.8</v>
      </c>
      <c r="F3">
        <v>7</v>
      </c>
      <c r="G3" s="1">
        <f>E3/F3</f>
        <v>0.39999999999999997</v>
      </c>
      <c r="H3">
        <f>B3-E3</f>
        <v>7.3999999999999995</v>
      </c>
      <c r="I3">
        <f>C3-F3</f>
        <v>13.100000000000001</v>
      </c>
      <c r="J3" s="1">
        <f>H3/I3</f>
        <v>0.56488549618320605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4850A-B137-47A1-9D54-348EED22B6CC}">
  <dimension ref="A1:J54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RowHeight="15.75" x14ac:dyDescent="0.25"/>
  <sheetData>
    <row r="1" spans="1:9" x14ac:dyDescent="0.25">
      <c r="A1" t="s">
        <v>8</v>
      </c>
      <c r="B1" t="s">
        <v>9</v>
      </c>
    </row>
    <row r="2" spans="1:9" x14ac:dyDescent="0.25">
      <c r="A2">
        <v>7</v>
      </c>
      <c r="B2">
        <v>1</v>
      </c>
      <c r="C2">
        <f>COMBIN(6,B2)</f>
        <v>6</v>
      </c>
      <c r="D2">
        <f>0.55^B2</f>
        <v>0.55000000000000004</v>
      </c>
      <c r="E2">
        <f>0.45^(6-B2)</f>
        <v>1.8452812500000006E-2</v>
      </c>
      <c r="F2">
        <f>COMBIN(6,A2-B2)</f>
        <v>1</v>
      </c>
      <c r="G2">
        <f>0.47^(A2-B2)</f>
        <v>1.0779215328999999E-2</v>
      </c>
      <c r="H2">
        <f>0.53^(6-A2+B2)</f>
        <v>1</v>
      </c>
      <c r="I2">
        <f>PRODUCT(C2:H2)</f>
        <v>6.5639256989843747E-4</v>
      </c>
    </row>
    <row r="3" spans="1:9" x14ac:dyDescent="0.25">
      <c r="A3">
        <v>7</v>
      </c>
      <c r="B3">
        <v>2</v>
      </c>
      <c r="C3">
        <f t="shared" ref="C3:C29" si="0">COMBIN(6,B3)</f>
        <v>15</v>
      </c>
      <c r="D3">
        <f t="shared" ref="D3:D23" si="1">0.55^B3</f>
        <v>0.30250000000000005</v>
      </c>
      <c r="E3">
        <f t="shared" ref="E3:E23" si="2">0.45^(6-B3)</f>
        <v>4.1006250000000008E-2</v>
      </c>
      <c r="F3">
        <f t="shared" ref="F3:F23" si="3">COMBIN(6,A3-B3)</f>
        <v>6</v>
      </c>
      <c r="G3">
        <f t="shared" ref="G3:G23" si="4">0.47^(A3-B3)</f>
        <v>2.2934500699999995E-2</v>
      </c>
      <c r="H3">
        <f t="shared" ref="H3:H29" si="5">0.53^(6-A3+B3)</f>
        <v>0.53</v>
      </c>
      <c r="I3">
        <f t="shared" ref="I3:I29" si="6">PRODUCT(C3:H3)</f>
        <v>1.3570101711020886E-2</v>
      </c>
    </row>
    <row r="4" spans="1:9" x14ac:dyDescent="0.25">
      <c r="A4">
        <v>7</v>
      </c>
      <c r="B4">
        <v>3</v>
      </c>
      <c r="C4">
        <f t="shared" si="0"/>
        <v>20</v>
      </c>
      <c r="D4">
        <f t="shared" si="1"/>
        <v>0.16637500000000005</v>
      </c>
      <c r="E4">
        <f t="shared" si="2"/>
        <v>9.1125000000000012E-2</v>
      </c>
      <c r="F4">
        <f t="shared" si="3"/>
        <v>15</v>
      </c>
      <c r="G4">
        <f t="shared" si="4"/>
        <v>4.8796809999999996E-2</v>
      </c>
      <c r="H4">
        <f t="shared" si="5"/>
        <v>0.28090000000000004</v>
      </c>
      <c r="I4">
        <f t="shared" si="6"/>
        <v>6.2343335677897391E-2</v>
      </c>
    </row>
    <row r="5" spans="1:9" x14ac:dyDescent="0.25">
      <c r="A5">
        <v>7</v>
      </c>
      <c r="B5">
        <v>4</v>
      </c>
      <c r="C5">
        <f t="shared" si="0"/>
        <v>15</v>
      </c>
      <c r="D5">
        <f t="shared" si="1"/>
        <v>9.1506250000000025E-2</v>
      </c>
      <c r="E5">
        <f t="shared" si="2"/>
        <v>0.20250000000000001</v>
      </c>
      <c r="F5">
        <f t="shared" si="3"/>
        <v>20</v>
      </c>
      <c r="G5">
        <f t="shared" si="4"/>
        <v>0.10382299999999998</v>
      </c>
      <c r="H5">
        <f t="shared" si="5"/>
        <v>0.14887700000000004</v>
      </c>
      <c r="I5">
        <f t="shared" si="6"/>
        <v>8.5924739244005136E-2</v>
      </c>
    </row>
    <row r="6" spans="1:9" x14ac:dyDescent="0.25">
      <c r="A6">
        <v>7</v>
      </c>
      <c r="B6">
        <v>5</v>
      </c>
      <c r="C6">
        <f t="shared" si="0"/>
        <v>6</v>
      </c>
      <c r="D6">
        <f t="shared" si="1"/>
        <v>5.0328437500000017E-2</v>
      </c>
      <c r="E6">
        <f t="shared" si="2"/>
        <v>0.45</v>
      </c>
      <c r="F6">
        <f t="shared" si="3"/>
        <v>15</v>
      </c>
      <c r="G6">
        <f t="shared" si="4"/>
        <v>0.22089999999999999</v>
      </c>
      <c r="H6">
        <f t="shared" si="5"/>
        <v>7.890481000000002E-2</v>
      </c>
      <c r="I6">
        <f t="shared" si="6"/>
        <v>3.5527746793797881E-2</v>
      </c>
    </row>
    <row r="7" spans="1:9" x14ac:dyDescent="0.25">
      <c r="A7">
        <v>7</v>
      </c>
      <c r="B7">
        <v>6</v>
      </c>
      <c r="C7">
        <f t="shared" si="0"/>
        <v>1</v>
      </c>
      <c r="D7">
        <f t="shared" si="1"/>
        <v>2.7680640625000013E-2</v>
      </c>
      <c r="E7">
        <f t="shared" si="2"/>
        <v>1</v>
      </c>
      <c r="F7">
        <f t="shared" si="3"/>
        <v>6</v>
      </c>
      <c r="G7">
        <f t="shared" si="4"/>
        <v>0.47</v>
      </c>
      <c r="H7">
        <f t="shared" si="5"/>
        <v>4.1819549300000015E-2</v>
      </c>
      <c r="I7">
        <f t="shared" si="6"/>
        <v>3.2644092010692149E-3</v>
      </c>
    </row>
    <row r="8" spans="1:9" x14ac:dyDescent="0.25">
      <c r="A8">
        <v>8</v>
      </c>
      <c r="B8">
        <v>2</v>
      </c>
      <c r="C8">
        <f t="shared" si="0"/>
        <v>15</v>
      </c>
      <c r="D8">
        <f t="shared" si="1"/>
        <v>0.30250000000000005</v>
      </c>
      <c r="E8">
        <f t="shared" si="2"/>
        <v>4.1006250000000008E-2</v>
      </c>
      <c r="F8">
        <f t="shared" si="3"/>
        <v>1</v>
      </c>
      <c r="G8">
        <f t="shared" si="4"/>
        <v>1.0779215328999999E-2</v>
      </c>
      <c r="H8">
        <f t="shared" si="5"/>
        <v>1</v>
      </c>
      <c r="I8">
        <f t="shared" si="6"/>
        <v>2.0056439635785586E-3</v>
      </c>
    </row>
    <row r="9" spans="1:9" x14ac:dyDescent="0.25">
      <c r="A9">
        <v>8</v>
      </c>
      <c r="B9">
        <v>3</v>
      </c>
      <c r="C9">
        <f t="shared" si="0"/>
        <v>20</v>
      </c>
      <c r="D9">
        <f t="shared" si="1"/>
        <v>0.16637500000000005</v>
      </c>
      <c r="E9">
        <f t="shared" si="2"/>
        <v>9.1125000000000012E-2</v>
      </c>
      <c r="F9">
        <f t="shared" si="3"/>
        <v>6</v>
      </c>
      <c r="G9">
        <f t="shared" si="4"/>
        <v>2.2934500699999995E-2</v>
      </c>
      <c r="H9">
        <f t="shared" si="5"/>
        <v>0.53</v>
      </c>
      <c r="I9">
        <f t="shared" si="6"/>
        <v>2.2114239825367369E-2</v>
      </c>
    </row>
    <row r="10" spans="1:9" x14ac:dyDescent="0.25">
      <c r="A10">
        <v>8</v>
      </c>
      <c r="B10">
        <v>4</v>
      </c>
      <c r="C10">
        <f t="shared" si="0"/>
        <v>15</v>
      </c>
      <c r="D10">
        <f t="shared" si="1"/>
        <v>9.1506250000000025E-2</v>
      </c>
      <c r="E10">
        <f t="shared" si="2"/>
        <v>0.20250000000000001</v>
      </c>
      <c r="F10">
        <f t="shared" si="3"/>
        <v>15</v>
      </c>
      <c r="G10">
        <f t="shared" si="4"/>
        <v>4.8796809999999996E-2</v>
      </c>
      <c r="H10">
        <f t="shared" si="5"/>
        <v>0.28090000000000004</v>
      </c>
      <c r="I10">
        <f t="shared" si="6"/>
        <v>5.7148057704739262E-2</v>
      </c>
    </row>
    <row r="11" spans="1:9" x14ac:dyDescent="0.25">
      <c r="A11">
        <v>8</v>
      </c>
      <c r="B11">
        <v>5</v>
      </c>
      <c r="C11">
        <f t="shared" si="0"/>
        <v>6</v>
      </c>
      <c r="D11">
        <f t="shared" si="1"/>
        <v>5.0328437500000017E-2</v>
      </c>
      <c r="E11">
        <f t="shared" si="2"/>
        <v>0.45</v>
      </c>
      <c r="F11">
        <f t="shared" si="3"/>
        <v>20</v>
      </c>
      <c r="G11">
        <f t="shared" si="4"/>
        <v>0.10382299999999998</v>
      </c>
      <c r="H11">
        <f t="shared" si="5"/>
        <v>0.14887700000000004</v>
      </c>
      <c r="I11">
        <f t="shared" si="6"/>
        <v>4.2007650297069189E-2</v>
      </c>
    </row>
    <row r="12" spans="1:9" x14ac:dyDescent="0.25">
      <c r="A12">
        <v>8</v>
      </c>
      <c r="B12">
        <v>6</v>
      </c>
      <c r="C12">
        <f t="shared" si="0"/>
        <v>1</v>
      </c>
      <c r="D12">
        <f t="shared" si="1"/>
        <v>2.7680640625000013E-2</v>
      </c>
      <c r="E12">
        <f t="shared" si="2"/>
        <v>1</v>
      </c>
      <c r="F12">
        <f t="shared" si="3"/>
        <v>15</v>
      </c>
      <c r="G12">
        <f t="shared" si="4"/>
        <v>0.22089999999999999</v>
      </c>
      <c r="H12">
        <f t="shared" si="5"/>
        <v>7.890481000000002E-2</v>
      </c>
      <c r="I12">
        <f t="shared" si="6"/>
        <v>7.2371336061440132E-3</v>
      </c>
    </row>
    <row r="13" spans="1:9" x14ac:dyDescent="0.25">
      <c r="A13">
        <v>9</v>
      </c>
      <c r="B13">
        <v>3</v>
      </c>
      <c r="C13">
        <f t="shared" si="0"/>
        <v>20</v>
      </c>
      <c r="D13">
        <f t="shared" si="1"/>
        <v>0.16637500000000005</v>
      </c>
      <c r="E13">
        <f t="shared" si="2"/>
        <v>9.1125000000000012E-2</v>
      </c>
      <c r="F13">
        <f t="shared" si="3"/>
        <v>1</v>
      </c>
      <c r="G13">
        <f t="shared" si="4"/>
        <v>1.0779215328999999E-2</v>
      </c>
      <c r="H13">
        <f t="shared" si="5"/>
        <v>1</v>
      </c>
      <c r="I13">
        <f t="shared" si="6"/>
        <v>3.2684568295354294E-3</v>
      </c>
    </row>
    <row r="14" spans="1:9" x14ac:dyDescent="0.25">
      <c r="A14">
        <v>9</v>
      </c>
      <c r="B14">
        <v>4</v>
      </c>
      <c r="C14">
        <f t="shared" si="0"/>
        <v>15</v>
      </c>
      <c r="D14">
        <f t="shared" si="1"/>
        <v>9.1506250000000025E-2</v>
      </c>
      <c r="E14">
        <f t="shared" si="2"/>
        <v>0.20250000000000001</v>
      </c>
      <c r="F14">
        <f t="shared" si="3"/>
        <v>6</v>
      </c>
      <c r="G14">
        <f t="shared" si="4"/>
        <v>2.2934500699999995E-2</v>
      </c>
      <c r="H14">
        <f t="shared" si="5"/>
        <v>0.53</v>
      </c>
      <c r="I14">
        <f t="shared" si="6"/>
        <v>2.0271386506586754E-2</v>
      </c>
    </row>
    <row r="15" spans="1:9" x14ac:dyDescent="0.25">
      <c r="A15">
        <v>9</v>
      </c>
      <c r="B15">
        <v>5</v>
      </c>
      <c r="C15">
        <f t="shared" si="0"/>
        <v>6</v>
      </c>
      <c r="D15">
        <f t="shared" si="1"/>
        <v>5.0328437500000017E-2</v>
      </c>
      <c r="E15">
        <f t="shared" si="2"/>
        <v>0.45</v>
      </c>
      <c r="F15">
        <f t="shared" si="3"/>
        <v>15</v>
      </c>
      <c r="G15">
        <f t="shared" si="4"/>
        <v>4.8796809999999996E-2</v>
      </c>
      <c r="H15">
        <f t="shared" si="5"/>
        <v>0.28090000000000004</v>
      </c>
      <c r="I15">
        <f t="shared" si="6"/>
        <v>2.7939050433428092E-2</v>
      </c>
    </row>
    <row r="16" spans="1:9" x14ac:dyDescent="0.25">
      <c r="A16">
        <v>9</v>
      </c>
      <c r="B16">
        <v>6</v>
      </c>
      <c r="C16">
        <f t="shared" si="0"/>
        <v>1</v>
      </c>
      <c r="D16">
        <f t="shared" si="1"/>
        <v>2.7680640625000013E-2</v>
      </c>
      <c r="E16">
        <f t="shared" si="2"/>
        <v>1</v>
      </c>
      <c r="F16">
        <f t="shared" si="3"/>
        <v>20</v>
      </c>
      <c r="G16">
        <f t="shared" si="4"/>
        <v>0.10382299999999998</v>
      </c>
      <c r="H16">
        <f t="shared" si="5"/>
        <v>0.14887700000000004</v>
      </c>
      <c r="I16">
        <f t="shared" si="6"/>
        <v>8.5571139494029832E-3</v>
      </c>
    </row>
    <row r="17" spans="1:10" x14ac:dyDescent="0.25">
      <c r="A17">
        <v>10</v>
      </c>
      <c r="B17">
        <v>4</v>
      </c>
      <c r="C17">
        <f t="shared" si="0"/>
        <v>15</v>
      </c>
      <c r="D17">
        <f t="shared" si="1"/>
        <v>9.1506250000000025E-2</v>
      </c>
      <c r="E17">
        <f t="shared" si="2"/>
        <v>0.20250000000000001</v>
      </c>
      <c r="F17">
        <f t="shared" si="3"/>
        <v>1</v>
      </c>
      <c r="G17">
        <f t="shared" si="4"/>
        <v>1.0779215328999999E-2</v>
      </c>
      <c r="H17">
        <f t="shared" si="5"/>
        <v>1</v>
      </c>
      <c r="I17">
        <f t="shared" si="6"/>
        <v>2.9960854270741429E-3</v>
      </c>
    </row>
    <row r="18" spans="1:10" x14ac:dyDescent="0.25">
      <c r="A18">
        <v>10</v>
      </c>
      <c r="B18">
        <v>5</v>
      </c>
      <c r="C18">
        <f t="shared" si="0"/>
        <v>6</v>
      </c>
      <c r="D18">
        <f t="shared" si="1"/>
        <v>5.0328437500000017E-2</v>
      </c>
      <c r="E18">
        <f t="shared" si="2"/>
        <v>0.45</v>
      </c>
      <c r="F18">
        <f t="shared" si="3"/>
        <v>6</v>
      </c>
      <c r="G18">
        <f t="shared" si="4"/>
        <v>2.2934500699999995E-2</v>
      </c>
      <c r="H18">
        <f t="shared" si="5"/>
        <v>0.53</v>
      </c>
      <c r="I18">
        <f t="shared" si="6"/>
        <v>9.9104556254424152E-3</v>
      </c>
    </row>
    <row r="19" spans="1:10" x14ac:dyDescent="0.25">
      <c r="A19">
        <v>10</v>
      </c>
      <c r="B19">
        <v>6</v>
      </c>
      <c r="C19">
        <f t="shared" si="0"/>
        <v>1</v>
      </c>
      <c r="D19">
        <f t="shared" si="1"/>
        <v>2.7680640625000013E-2</v>
      </c>
      <c r="E19">
        <f t="shared" si="2"/>
        <v>1</v>
      </c>
      <c r="F19">
        <f t="shared" si="3"/>
        <v>15</v>
      </c>
      <c r="G19">
        <f t="shared" si="4"/>
        <v>4.8796809999999996E-2</v>
      </c>
      <c r="H19">
        <f t="shared" si="5"/>
        <v>0.28090000000000004</v>
      </c>
      <c r="I19">
        <f t="shared" si="6"/>
        <v>5.6912880512538701E-3</v>
      </c>
    </row>
    <row r="20" spans="1:10" x14ac:dyDescent="0.25">
      <c r="A20">
        <v>11</v>
      </c>
      <c r="B20">
        <v>5</v>
      </c>
      <c r="C20">
        <f t="shared" si="0"/>
        <v>6</v>
      </c>
      <c r="D20">
        <f t="shared" si="1"/>
        <v>5.0328437500000017E-2</v>
      </c>
      <c r="E20">
        <f t="shared" si="2"/>
        <v>0.45</v>
      </c>
      <c r="F20">
        <f t="shared" si="3"/>
        <v>1</v>
      </c>
      <c r="G20">
        <f t="shared" si="4"/>
        <v>1.0779215328999999E-2</v>
      </c>
      <c r="H20">
        <f t="shared" si="5"/>
        <v>1</v>
      </c>
      <c r="I20">
        <f t="shared" si="6"/>
        <v>1.4647528754584704E-3</v>
      </c>
    </row>
    <row r="21" spans="1:10" x14ac:dyDescent="0.25">
      <c r="A21">
        <v>11</v>
      </c>
      <c r="B21">
        <v>6</v>
      </c>
      <c r="C21">
        <f t="shared" si="0"/>
        <v>1</v>
      </c>
      <c r="D21">
        <f t="shared" si="1"/>
        <v>2.7680640625000013E-2</v>
      </c>
      <c r="E21">
        <f t="shared" si="2"/>
        <v>1</v>
      </c>
      <c r="F21">
        <f t="shared" si="3"/>
        <v>6</v>
      </c>
      <c r="G21">
        <f t="shared" si="4"/>
        <v>2.2934500699999995E-2</v>
      </c>
      <c r="H21">
        <f t="shared" si="5"/>
        <v>0.53</v>
      </c>
      <c r="I21">
        <f t="shared" si="6"/>
        <v>2.0187965162938252E-3</v>
      </c>
    </row>
    <row r="22" spans="1:10" x14ac:dyDescent="0.25">
      <c r="A22">
        <v>12</v>
      </c>
      <c r="B22">
        <v>6</v>
      </c>
      <c r="C22">
        <f t="shared" si="0"/>
        <v>1</v>
      </c>
      <c r="D22">
        <f t="shared" si="1"/>
        <v>2.7680640625000013E-2</v>
      </c>
      <c r="E22">
        <f t="shared" si="2"/>
        <v>1</v>
      </c>
      <c r="F22">
        <f t="shared" si="3"/>
        <v>1</v>
      </c>
      <c r="G22">
        <f t="shared" si="4"/>
        <v>1.0779215328999999E-2</v>
      </c>
      <c r="H22">
        <f t="shared" si="5"/>
        <v>1</v>
      </c>
      <c r="I22">
        <f t="shared" si="6"/>
        <v>2.9837558574154026E-4</v>
      </c>
      <c r="J22">
        <f>SUM(I2:I22)</f>
        <v>0.41421521239480491</v>
      </c>
    </row>
    <row r="23" spans="1:10" x14ac:dyDescent="0.25">
      <c r="A23">
        <v>6</v>
      </c>
      <c r="B23">
        <v>0</v>
      </c>
      <c r="C23">
        <f t="shared" si="0"/>
        <v>1</v>
      </c>
      <c r="D23">
        <f t="shared" si="1"/>
        <v>1</v>
      </c>
      <c r="E23">
        <f t="shared" si="2"/>
        <v>8.3037656250000026E-3</v>
      </c>
      <c r="F23">
        <f t="shared" si="3"/>
        <v>1</v>
      </c>
      <c r="G23">
        <f t="shared" si="4"/>
        <v>1.0779215328999999E-2</v>
      </c>
      <c r="H23">
        <f t="shared" si="5"/>
        <v>1</v>
      </c>
      <c r="I23">
        <f t="shared" si="6"/>
        <v>8.9508077713423286E-5</v>
      </c>
    </row>
    <row r="24" spans="1:10" x14ac:dyDescent="0.25">
      <c r="A24">
        <v>6</v>
      </c>
      <c r="B24">
        <v>1</v>
      </c>
      <c r="C24">
        <f t="shared" si="0"/>
        <v>6</v>
      </c>
      <c r="D24">
        <f t="shared" ref="D24:D29" si="7">0.55^B24</f>
        <v>0.55000000000000004</v>
      </c>
      <c r="E24">
        <f t="shared" ref="E24:E29" si="8">0.45^(6-B24)</f>
        <v>1.8452812500000006E-2</v>
      </c>
      <c r="F24">
        <f t="shared" ref="F24:F29" si="9">COMBIN(6,A24-B24)</f>
        <v>6</v>
      </c>
      <c r="G24">
        <f t="shared" ref="G24:G29" si="10">0.47^(A24-B24)</f>
        <v>2.2934500699999995E-2</v>
      </c>
      <c r="H24">
        <f t="shared" si="5"/>
        <v>0.53</v>
      </c>
      <c r="I24">
        <f t="shared" si="6"/>
        <v>4.441124196334109E-3</v>
      </c>
    </row>
    <row r="25" spans="1:10" x14ac:dyDescent="0.25">
      <c r="A25">
        <v>6</v>
      </c>
      <c r="B25">
        <v>2</v>
      </c>
      <c r="C25">
        <f t="shared" si="0"/>
        <v>15</v>
      </c>
      <c r="D25">
        <f t="shared" si="7"/>
        <v>0.30250000000000005</v>
      </c>
      <c r="E25">
        <f t="shared" si="8"/>
        <v>4.1006250000000008E-2</v>
      </c>
      <c r="F25">
        <f t="shared" si="9"/>
        <v>15</v>
      </c>
      <c r="G25">
        <f t="shared" si="10"/>
        <v>4.8796809999999996E-2</v>
      </c>
      <c r="H25">
        <f t="shared" si="5"/>
        <v>0.28090000000000004</v>
      </c>
      <c r="I25">
        <f t="shared" si="6"/>
        <v>3.8256137802346123E-2</v>
      </c>
    </row>
    <row r="26" spans="1:10" x14ac:dyDescent="0.25">
      <c r="A26">
        <v>6</v>
      </c>
      <c r="B26">
        <v>3</v>
      </c>
      <c r="C26">
        <f t="shared" si="0"/>
        <v>20</v>
      </c>
      <c r="D26">
        <f t="shared" si="7"/>
        <v>0.16637500000000005</v>
      </c>
      <c r="E26">
        <f t="shared" si="8"/>
        <v>9.1125000000000012E-2</v>
      </c>
      <c r="F26">
        <f t="shared" si="9"/>
        <v>20</v>
      </c>
      <c r="G26">
        <f t="shared" si="10"/>
        <v>0.10382299999999998</v>
      </c>
      <c r="H26">
        <f t="shared" si="5"/>
        <v>0.14887700000000004</v>
      </c>
      <c r="I26">
        <f t="shared" si="6"/>
        <v>9.3736079175278333E-2</v>
      </c>
    </row>
    <row r="27" spans="1:10" x14ac:dyDescent="0.25">
      <c r="A27">
        <v>6</v>
      </c>
      <c r="B27">
        <v>4</v>
      </c>
      <c r="C27">
        <f t="shared" si="0"/>
        <v>15</v>
      </c>
      <c r="D27">
        <f t="shared" si="7"/>
        <v>9.1506250000000025E-2</v>
      </c>
      <c r="E27">
        <f t="shared" si="8"/>
        <v>0.20250000000000001</v>
      </c>
      <c r="F27">
        <f t="shared" si="9"/>
        <v>15</v>
      </c>
      <c r="G27">
        <f t="shared" si="10"/>
        <v>0.22089999999999999</v>
      </c>
      <c r="H27">
        <f t="shared" si="5"/>
        <v>7.890481000000002E-2</v>
      </c>
      <c r="I27">
        <f t="shared" si="6"/>
        <v>7.2670391169132015E-2</v>
      </c>
    </row>
    <row r="28" spans="1:10" x14ac:dyDescent="0.25">
      <c r="A28">
        <v>6</v>
      </c>
      <c r="B28">
        <v>5</v>
      </c>
      <c r="C28">
        <f t="shared" si="0"/>
        <v>6</v>
      </c>
      <c r="D28">
        <f t="shared" si="7"/>
        <v>5.0328437500000017E-2</v>
      </c>
      <c r="E28">
        <f t="shared" si="8"/>
        <v>0.45</v>
      </c>
      <c r="F28">
        <f t="shared" si="9"/>
        <v>6</v>
      </c>
      <c r="G28">
        <f t="shared" si="10"/>
        <v>0.47</v>
      </c>
      <c r="H28">
        <f t="shared" si="5"/>
        <v>4.1819549300000015E-2</v>
      </c>
      <c r="I28">
        <f t="shared" si="6"/>
        <v>1.6025281532521599E-2</v>
      </c>
    </row>
    <row r="29" spans="1:10" x14ac:dyDescent="0.25">
      <c r="A29">
        <v>6</v>
      </c>
      <c r="B29">
        <v>6</v>
      </c>
      <c r="C29">
        <f t="shared" si="0"/>
        <v>1</v>
      </c>
      <c r="D29">
        <f t="shared" si="7"/>
        <v>2.7680640625000013E-2</v>
      </c>
      <c r="E29">
        <f t="shared" si="8"/>
        <v>1</v>
      </c>
      <c r="F29">
        <f t="shared" si="9"/>
        <v>1</v>
      </c>
      <c r="G29">
        <f t="shared" si="10"/>
        <v>1</v>
      </c>
      <c r="H29">
        <f t="shared" si="5"/>
        <v>2.2164361129000009E-2</v>
      </c>
      <c r="I29">
        <f t="shared" si="6"/>
        <v>6.1352371509456878E-4</v>
      </c>
      <c r="J29">
        <f>SUM(I23:I29)</f>
        <v>0.22583204566842016</v>
      </c>
    </row>
    <row r="33" spans="1:10" x14ac:dyDescent="0.25">
      <c r="A33">
        <v>6</v>
      </c>
      <c r="B33">
        <v>1</v>
      </c>
      <c r="C33">
        <f>COMBIN(5,B33)</f>
        <v>5</v>
      </c>
      <c r="D33">
        <f>0.6231^B33</f>
        <v>0.62309999999999999</v>
      </c>
      <c r="E33">
        <f>0.3769^(5-B33)</f>
        <v>2.01792281140321E-2</v>
      </c>
      <c r="F33">
        <f>COMBIN(5,A33-B33)</f>
        <v>1</v>
      </c>
      <c r="G33">
        <f>0.4254^(A33-B33)</f>
        <v>1.3931164737529414E-2</v>
      </c>
      <c r="H33">
        <f>0.5746^(5-A33+B33)</f>
        <v>1</v>
      </c>
      <c r="I33">
        <f t="shared" ref="I33" si="11">PRODUCT(C33:H33)</f>
        <v>8.7582983085413295E-4</v>
      </c>
    </row>
    <row r="34" spans="1:10" x14ac:dyDescent="0.25">
      <c r="A34">
        <v>6</v>
      </c>
      <c r="B34">
        <v>2</v>
      </c>
      <c r="C34">
        <f t="shared" ref="C34:C47" si="12">COMBIN(5,B34)</f>
        <v>10</v>
      </c>
      <c r="D34">
        <f t="shared" ref="D34:D47" si="13">0.6231^B34</f>
        <v>0.38825360999999997</v>
      </c>
      <c r="E34">
        <f t="shared" ref="E34:E47" si="14">0.3769^(5-B34)</f>
        <v>5.3540005608999998E-2</v>
      </c>
      <c r="F34">
        <f t="shared" ref="F34:F47" si="15">COMBIN(5,A34-B34)</f>
        <v>5</v>
      </c>
      <c r="G34">
        <f t="shared" ref="G34:G47" si="16">0.4254^(A34-B34)</f>
        <v>3.2748389133825606E-2</v>
      </c>
      <c r="H34">
        <f t="shared" ref="H34:H47" si="17">0.5746^(5-A34+B34)</f>
        <v>0.5746</v>
      </c>
      <c r="I34">
        <f t="shared" ref="I34:I47" si="18">PRODUCT(C34:H34)</f>
        <v>1.9557776692493735E-2</v>
      </c>
    </row>
    <row r="35" spans="1:10" x14ac:dyDescent="0.25">
      <c r="A35">
        <v>6</v>
      </c>
      <c r="B35">
        <v>3</v>
      </c>
      <c r="C35">
        <f t="shared" si="12"/>
        <v>10</v>
      </c>
      <c r="D35">
        <f t="shared" si="13"/>
        <v>0.24192082439099999</v>
      </c>
      <c r="E35">
        <f t="shared" si="14"/>
        <v>0.14205361</v>
      </c>
      <c r="F35">
        <f t="shared" si="15"/>
        <v>10</v>
      </c>
      <c r="G35">
        <f t="shared" si="16"/>
        <v>7.6982579064000009E-2</v>
      </c>
      <c r="H35">
        <f t="shared" si="17"/>
        <v>0.33016516000000001</v>
      </c>
      <c r="I35">
        <f t="shared" si="18"/>
        <v>8.7347248444465592E-2</v>
      </c>
    </row>
    <row r="36" spans="1:10" x14ac:dyDescent="0.25">
      <c r="A36">
        <v>6</v>
      </c>
      <c r="B36">
        <v>4</v>
      </c>
      <c r="C36">
        <f t="shared" si="12"/>
        <v>5</v>
      </c>
      <c r="D36">
        <f t="shared" si="13"/>
        <v>0.15074086567803208</v>
      </c>
      <c r="E36">
        <f t="shared" si="14"/>
        <v>0.37690000000000001</v>
      </c>
      <c r="F36">
        <f t="shared" si="15"/>
        <v>10</v>
      </c>
      <c r="G36">
        <f t="shared" si="16"/>
        <v>0.18096516000000001</v>
      </c>
      <c r="H36">
        <f t="shared" si="17"/>
        <v>0.18971290093600002</v>
      </c>
      <c r="I36">
        <f t="shared" si="18"/>
        <v>9.7525679053123288E-2</v>
      </c>
    </row>
    <row r="37" spans="1:10" x14ac:dyDescent="0.25">
      <c r="A37">
        <v>6</v>
      </c>
      <c r="B37">
        <v>5</v>
      </c>
      <c r="C37">
        <f t="shared" si="12"/>
        <v>1</v>
      </c>
      <c r="D37">
        <f t="shared" si="13"/>
        <v>9.3926633403981788E-2</v>
      </c>
      <c r="E37">
        <f t="shared" si="14"/>
        <v>1</v>
      </c>
      <c r="F37">
        <f t="shared" si="15"/>
        <v>5</v>
      </c>
      <c r="G37">
        <f t="shared" si="16"/>
        <v>0.4254</v>
      </c>
      <c r="H37">
        <f t="shared" si="17"/>
        <v>0.10900903287782561</v>
      </c>
      <c r="I37">
        <f t="shared" si="18"/>
        <v>2.177803707421869E-2</v>
      </c>
    </row>
    <row r="38" spans="1:10" x14ac:dyDescent="0.25">
      <c r="A38">
        <v>7</v>
      </c>
      <c r="B38">
        <v>2</v>
      </c>
      <c r="C38">
        <f t="shared" si="12"/>
        <v>10</v>
      </c>
      <c r="D38">
        <f t="shared" si="13"/>
        <v>0.38825360999999997</v>
      </c>
      <c r="E38">
        <f t="shared" si="14"/>
        <v>5.3540005608999998E-2</v>
      </c>
      <c r="F38">
        <f t="shared" si="15"/>
        <v>1</v>
      </c>
      <c r="G38">
        <f t="shared" si="16"/>
        <v>1.3931164737529414E-2</v>
      </c>
      <c r="H38">
        <f t="shared" si="17"/>
        <v>1</v>
      </c>
      <c r="I38">
        <f t="shared" si="18"/>
        <v>2.8958852088363501E-3</v>
      </c>
    </row>
    <row r="39" spans="1:10" x14ac:dyDescent="0.25">
      <c r="A39">
        <v>7</v>
      </c>
      <c r="B39">
        <v>3</v>
      </c>
      <c r="C39">
        <f t="shared" si="12"/>
        <v>10</v>
      </c>
      <c r="D39">
        <f t="shared" si="13"/>
        <v>0.24192082439099999</v>
      </c>
      <c r="E39">
        <f t="shared" si="14"/>
        <v>0.14205361</v>
      </c>
      <c r="F39">
        <f t="shared" si="15"/>
        <v>5</v>
      </c>
      <c r="G39">
        <f t="shared" si="16"/>
        <v>3.2748389133825606E-2</v>
      </c>
      <c r="H39">
        <f t="shared" si="17"/>
        <v>0.5746</v>
      </c>
      <c r="I39">
        <f t="shared" si="18"/>
        <v>3.233337929714207E-2</v>
      </c>
    </row>
    <row r="40" spans="1:10" x14ac:dyDescent="0.25">
      <c r="A40">
        <v>7</v>
      </c>
      <c r="B40">
        <v>4</v>
      </c>
      <c r="C40">
        <f t="shared" si="12"/>
        <v>5</v>
      </c>
      <c r="D40">
        <f t="shared" si="13"/>
        <v>0.15074086567803208</v>
      </c>
      <c r="E40">
        <f t="shared" si="14"/>
        <v>0.37690000000000001</v>
      </c>
      <c r="F40">
        <f t="shared" si="15"/>
        <v>10</v>
      </c>
      <c r="G40">
        <f t="shared" si="16"/>
        <v>7.6982579064000009E-2</v>
      </c>
      <c r="H40">
        <f t="shared" si="17"/>
        <v>0.33016516000000001</v>
      </c>
      <c r="I40">
        <f t="shared" si="18"/>
        <v>7.2202269177164366E-2</v>
      </c>
    </row>
    <row r="41" spans="1:10" x14ac:dyDescent="0.25">
      <c r="A41">
        <v>7</v>
      </c>
      <c r="B41">
        <v>5</v>
      </c>
      <c r="C41">
        <f t="shared" si="12"/>
        <v>1</v>
      </c>
      <c r="D41">
        <f t="shared" si="13"/>
        <v>9.3926633403981788E-2</v>
      </c>
      <c r="E41">
        <f t="shared" si="14"/>
        <v>1</v>
      </c>
      <c r="F41">
        <f t="shared" si="15"/>
        <v>10</v>
      </c>
      <c r="G41">
        <f t="shared" si="16"/>
        <v>0.18096516000000001</v>
      </c>
      <c r="H41">
        <f t="shared" si="17"/>
        <v>0.18971290093600002</v>
      </c>
      <c r="I41">
        <f t="shared" si="18"/>
        <v>3.2246352145397256E-2</v>
      </c>
    </row>
    <row r="42" spans="1:10" x14ac:dyDescent="0.25">
      <c r="A42">
        <v>8</v>
      </c>
      <c r="B42">
        <v>3</v>
      </c>
      <c r="C42">
        <f t="shared" si="12"/>
        <v>10</v>
      </c>
      <c r="D42">
        <f t="shared" si="13"/>
        <v>0.24192082439099999</v>
      </c>
      <c r="E42">
        <f t="shared" si="14"/>
        <v>0.14205361</v>
      </c>
      <c r="F42">
        <f t="shared" si="15"/>
        <v>1</v>
      </c>
      <c r="G42">
        <f t="shared" si="16"/>
        <v>1.3931164737529414E-2</v>
      </c>
      <c r="H42">
        <f t="shared" si="17"/>
        <v>1</v>
      </c>
      <c r="I42">
        <f t="shared" si="18"/>
        <v>4.7875459634543109E-3</v>
      </c>
    </row>
    <row r="43" spans="1:10" x14ac:dyDescent="0.25">
      <c r="A43">
        <v>8</v>
      </c>
      <c r="B43">
        <v>4</v>
      </c>
      <c r="C43">
        <f t="shared" si="12"/>
        <v>5</v>
      </c>
      <c r="D43">
        <f t="shared" si="13"/>
        <v>0.15074086567803208</v>
      </c>
      <c r="E43">
        <f t="shared" si="14"/>
        <v>0.37690000000000001</v>
      </c>
      <c r="F43">
        <f t="shared" si="15"/>
        <v>5</v>
      </c>
      <c r="G43">
        <f t="shared" si="16"/>
        <v>3.2748389133825606E-2</v>
      </c>
      <c r="H43">
        <f t="shared" si="17"/>
        <v>0.5746</v>
      </c>
      <c r="I43">
        <f t="shared" si="18"/>
        <v>2.672715394010244E-2</v>
      </c>
    </row>
    <row r="44" spans="1:10" x14ac:dyDescent="0.25">
      <c r="A44">
        <v>8</v>
      </c>
      <c r="B44">
        <v>5</v>
      </c>
      <c r="C44">
        <f t="shared" si="12"/>
        <v>1</v>
      </c>
      <c r="D44">
        <f t="shared" si="13"/>
        <v>9.3926633403981788E-2</v>
      </c>
      <c r="E44">
        <f t="shared" si="14"/>
        <v>1</v>
      </c>
      <c r="F44">
        <f t="shared" si="15"/>
        <v>10</v>
      </c>
      <c r="G44">
        <f t="shared" si="16"/>
        <v>7.6982579064000009E-2</v>
      </c>
      <c r="H44">
        <f t="shared" si="17"/>
        <v>0.33016516000000001</v>
      </c>
      <c r="I44">
        <f t="shared" si="18"/>
        <v>2.3873300039422191E-2</v>
      </c>
    </row>
    <row r="45" spans="1:10" x14ac:dyDescent="0.25">
      <c r="A45">
        <v>9</v>
      </c>
      <c r="B45">
        <v>4</v>
      </c>
      <c r="C45">
        <f t="shared" si="12"/>
        <v>5</v>
      </c>
      <c r="D45">
        <f t="shared" si="13"/>
        <v>0.15074086567803208</v>
      </c>
      <c r="E45">
        <f t="shared" si="14"/>
        <v>0.37690000000000001</v>
      </c>
      <c r="F45">
        <f t="shared" si="15"/>
        <v>1</v>
      </c>
      <c r="G45">
        <f t="shared" si="16"/>
        <v>1.3931164737529414E-2</v>
      </c>
      <c r="H45">
        <f t="shared" si="17"/>
        <v>1</v>
      </c>
      <c r="I45">
        <f t="shared" si="18"/>
        <v>3.9574421462302747E-3</v>
      </c>
    </row>
    <row r="46" spans="1:10" x14ac:dyDescent="0.25">
      <c r="A46">
        <v>9</v>
      </c>
      <c r="B46">
        <v>5</v>
      </c>
      <c r="C46">
        <f t="shared" si="12"/>
        <v>1</v>
      </c>
      <c r="D46">
        <f t="shared" si="13"/>
        <v>9.3926633403981788E-2</v>
      </c>
      <c r="E46">
        <f t="shared" si="14"/>
        <v>1</v>
      </c>
      <c r="F46">
        <f t="shared" si="15"/>
        <v>5</v>
      </c>
      <c r="G46">
        <f t="shared" si="16"/>
        <v>3.2748389133825606E-2</v>
      </c>
      <c r="H46">
        <f t="shared" si="17"/>
        <v>0.5746</v>
      </c>
      <c r="I46">
        <f t="shared" si="18"/>
        <v>8.8371926877568747E-3</v>
      </c>
    </row>
    <row r="47" spans="1:10" x14ac:dyDescent="0.25">
      <c r="A47">
        <v>10</v>
      </c>
      <c r="B47">
        <v>5</v>
      </c>
      <c r="C47">
        <f t="shared" si="12"/>
        <v>1</v>
      </c>
      <c r="D47">
        <f t="shared" si="13"/>
        <v>9.3926633403981788E-2</v>
      </c>
      <c r="E47">
        <f t="shared" si="14"/>
        <v>1</v>
      </c>
      <c r="F47">
        <f t="shared" si="15"/>
        <v>1</v>
      </c>
      <c r="G47">
        <f t="shared" si="16"/>
        <v>1.3931164737529414E-2</v>
      </c>
      <c r="H47">
        <f t="shared" si="17"/>
        <v>1</v>
      </c>
      <c r="I47">
        <f t="shared" si="18"/>
        <v>1.3085074031924035E-3</v>
      </c>
      <c r="J47">
        <f>SUM(I33:I47)</f>
        <v>0.43625359910385397</v>
      </c>
    </row>
    <row r="49" spans="1:10" x14ac:dyDescent="0.25">
      <c r="A49">
        <v>5</v>
      </c>
      <c r="B49">
        <v>0</v>
      </c>
      <c r="C49">
        <f>COMBIN(5,B49)</f>
        <v>1</v>
      </c>
      <c r="D49">
        <f>0.6231^B49</f>
        <v>1</v>
      </c>
      <c r="E49">
        <f>0.3769^(5-B49)</f>
        <v>7.6055510761786991E-3</v>
      </c>
      <c r="F49">
        <f>COMBIN(5,A49-B49)</f>
        <v>1</v>
      </c>
      <c r="G49">
        <f>0.4254^(A49-B49)</f>
        <v>1.3931164737529414E-2</v>
      </c>
      <c r="H49">
        <f>0.5746^(5-A49+B49)</f>
        <v>1</v>
      </c>
      <c r="I49">
        <f t="shared" ref="I49" si="19">PRODUCT(C49:H49)</f>
        <v>1.0595418496193957E-4</v>
      </c>
    </row>
    <row r="50" spans="1:10" x14ac:dyDescent="0.25">
      <c r="A50">
        <v>5</v>
      </c>
      <c r="B50">
        <v>1</v>
      </c>
      <c r="C50">
        <f t="shared" ref="C50:C54" si="20">COMBIN(5,B50)</f>
        <v>5</v>
      </c>
      <c r="D50">
        <f t="shared" ref="D50:D54" si="21">0.6231^B50</f>
        <v>0.62309999999999999</v>
      </c>
      <c r="E50">
        <f t="shared" ref="E50:E54" si="22">0.3769^(5-B50)</f>
        <v>2.01792281140321E-2</v>
      </c>
      <c r="F50">
        <f t="shared" ref="F50:F54" si="23">COMBIN(5,A50-B50)</f>
        <v>5</v>
      </c>
      <c r="G50">
        <f t="shared" ref="G50:G54" si="24">0.4254^(A50-B50)</f>
        <v>3.2748389133825606E-2</v>
      </c>
      <c r="H50">
        <f t="shared" ref="H50:H54" si="25">0.5746^(5-A50+B50)</f>
        <v>0.5746</v>
      </c>
      <c r="I50">
        <f t="shared" ref="I50:I54" si="26">PRODUCT(C50:H50)</f>
        <v>5.9150425576961069E-3</v>
      </c>
    </row>
    <row r="51" spans="1:10" x14ac:dyDescent="0.25">
      <c r="A51">
        <v>5</v>
      </c>
      <c r="B51">
        <v>2</v>
      </c>
      <c r="C51">
        <f t="shared" si="20"/>
        <v>10</v>
      </c>
      <c r="D51">
        <f t="shared" si="21"/>
        <v>0.38825360999999997</v>
      </c>
      <c r="E51">
        <f t="shared" si="22"/>
        <v>5.3540005608999998E-2</v>
      </c>
      <c r="F51">
        <f t="shared" si="23"/>
        <v>10</v>
      </c>
      <c r="G51">
        <f t="shared" si="24"/>
        <v>7.6982579064000009E-2</v>
      </c>
      <c r="H51">
        <f t="shared" si="25"/>
        <v>0.33016516000000001</v>
      </c>
      <c r="I51">
        <f t="shared" si="26"/>
        <v>5.283450158677433E-2</v>
      </c>
    </row>
    <row r="52" spans="1:10" x14ac:dyDescent="0.25">
      <c r="A52">
        <v>5</v>
      </c>
      <c r="B52">
        <v>3</v>
      </c>
      <c r="C52">
        <f t="shared" si="20"/>
        <v>10</v>
      </c>
      <c r="D52">
        <f t="shared" si="21"/>
        <v>0.24192082439099999</v>
      </c>
      <c r="E52">
        <f t="shared" si="22"/>
        <v>0.14205361</v>
      </c>
      <c r="F52">
        <f t="shared" si="23"/>
        <v>10</v>
      </c>
      <c r="G52">
        <f t="shared" si="24"/>
        <v>0.18096516000000001</v>
      </c>
      <c r="H52">
        <f t="shared" si="25"/>
        <v>0.18971290093600002</v>
      </c>
      <c r="I52">
        <f t="shared" si="26"/>
        <v>0.11798243760270316</v>
      </c>
    </row>
    <row r="53" spans="1:10" x14ac:dyDescent="0.25">
      <c r="A53">
        <v>5</v>
      </c>
      <c r="B53">
        <v>4</v>
      </c>
      <c r="C53">
        <f t="shared" si="20"/>
        <v>5</v>
      </c>
      <c r="D53">
        <f t="shared" si="21"/>
        <v>0.15074086567803208</v>
      </c>
      <c r="E53">
        <f t="shared" si="22"/>
        <v>0.37690000000000001</v>
      </c>
      <c r="F53">
        <f t="shared" si="23"/>
        <v>5</v>
      </c>
      <c r="G53">
        <f t="shared" si="24"/>
        <v>0.4254</v>
      </c>
      <c r="H53">
        <f t="shared" si="25"/>
        <v>0.10900903287782561</v>
      </c>
      <c r="I53">
        <f t="shared" si="26"/>
        <v>6.5865368105224073E-2</v>
      </c>
    </row>
    <row r="54" spans="1:10" x14ac:dyDescent="0.25">
      <c r="A54">
        <v>5</v>
      </c>
      <c r="B54">
        <v>5</v>
      </c>
      <c r="C54">
        <f t="shared" si="20"/>
        <v>1</v>
      </c>
      <c r="D54">
        <f t="shared" si="21"/>
        <v>9.3926633403981788E-2</v>
      </c>
      <c r="E54">
        <f t="shared" si="22"/>
        <v>1</v>
      </c>
      <c r="F54">
        <f t="shared" si="23"/>
        <v>1</v>
      </c>
      <c r="G54">
        <f t="shared" si="24"/>
        <v>1</v>
      </c>
      <c r="H54">
        <f t="shared" si="25"/>
        <v>6.2636590291598598E-2</v>
      </c>
      <c r="I54">
        <f t="shared" si="26"/>
        <v>5.8832440539943864E-3</v>
      </c>
      <c r="J54">
        <f>SUM(I49:I54)</f>
        <v>0.248586548091354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Bérubé</dc:creator>
  <cp:lastModifiedBy>Sylvain Bérubé</cp:lastModifiedBy>
  <dcterms:created xsi:type="dcterms:W3CDTF">2021-05-17T17:15:01Z</dcterms:created>
  <dcterms:modified xsi:type="dcterms:W3CDTF">2021-05-18T03:30:22Z</dcterms:modified>
</cp:coreProperties>
</file>