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1-05 STT489\Notes de cours\Exercices\"/>
    </mc:Choice>
  </mc:AlternateContent>
  <xr:revisionPtr revIDLastSave="0" documentId="13_ncr:1_{96C2DA58-68E5-4E71-AAC2-448D51EF549C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Méga Mill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" l="1"/>
  <c r="C26" i="1" l="1"/>
  <c r="C27" i="1" s="1"/>
  <c r="C25" i="1"/>
  <c r="D4" i="1"/>
  <c r="D3" i="1"/>
  <c r="D2" i="1"/>
  <c r="B6" i="1"/>
  <c r="B8" i="1" s="1"/>
  <c r="B10" i="1" s="1"/>
  <c r="B12" i="1" s="1"/>
  <c r="A6" i="1"/>
  <c r="A8" i="1" s="1"/>
  <c r="A10" i="1" s="1"/>
  <c r="A12" i="1" s="1"/>
  <c r="D12" i="1" s="1"/>
  <c r="B5" i="1"/>
  <c r="B7" i="1" s="1"/>
  <c r="B9" i="1" s="1"/>
  <c r="B11" i="1" s="1"/>
  <c r="B13" i="1" s="1"/>
  <c r="A5" i="1"/>
  <c r="A7" i="1" s="1"/>
  <c r="B4" i="1"/>
  <c r="A4" i="1"/>
  <c r="D6" i="1" l="1"/>
  <c r="A9" i="1"/>
  <c r="D7" i="1"/>
  <c r="D5" i="1"/>
  <c r="D8" i="1"/>
  <c r="D10" i="1"/>
  <c r="C28" i="1"/>
  <c r="A11" i="1" l="1"/>
  <c r="D9" i="1"/>
  <c r="C29" i="1"/>
  <c r="A13" i="1" l="1"/>
  <c r="D13" i="1" s="1"/>
  <c r="D11" i="1"/>
  <c r="C30" i="1"/>
  <c r="H2" i="1" l="1"/>
  <c r="D14" i="1"/>
  <c r="C19" i="1" s="1"/>
  <c r="C31" i="1"/>
  <c r="E14" i="1" l="1"/>
  <c r="E3" i="1"/>
  <c r="E2" i="1"/>
  <c r="C20" i="1"/>
  <c r="E6" i="1"/>
  <c r="E4" i="1"/>
  <c r="E12" i="1"/>
  <c r="E5" i="1"/>
  <c r="E7" i="1"/>
  <c r="E10" i="1"/>
  <c r="E8" i="1"/>
  <c r="E9" i="1"/>
  <c r="E13" i="1"/>
  <c r="E11" i="1"/>
  <c r="C32" i="1"/>
  <c r="D24" i="1" l="1"/>
  <c r="D25" i="1"/>
  <c r="D27" i="1"/>
  <c r="D26" i="1"/>
  <c r="D28" i="1"/>
  <c r="D29" i="1"/>
  <c r="D30" i="1"/>
  <c r="D15" i="1"/>
  <c r="D31" i="1"/>
  <c r="C33" i="1"/>
  <c r="D32" i="1"/>
  <c r="D33" i="1" l="1"/>
  <c r="C34" i="1"/>
  <c r="C35" i="1" l="1"/>
  <c r="D34" i="1"/>
  <c r="C36" i="1" l="1"/>
  <c r="D35" i="1"/>
  <c r="C37" i="1" l="1"/>
  <c r="D36" i="1"/>
  <c r="D37" i="1" l="1"/>
  <c r="C38" i="1"/>
  <c r="D38" i="1" l="1"/>
  <c r="C39" i="1"/>
  <c r="C40" i="1" l="1"/>
  <c r="D39" i="1"/>
  <c r="C41" i="1" l="1"/>
  <c r="D40" i="1"/>
  <c r="D41" i="1" l="1"/>
  <c r="C42" i="1"/>
  <c r="C43" i="1" l="1"/>
  <c r="D42" i="1"/>
  <c r="C44" i="1" l="1"/>
  <c r="D43" i="1"/>
  <c r="C45" i="1" l="1"/>
  <c r="D44" i="1"/>
  <c r="D45" i="1" l="1"/>
  <c r="C46" i="1"/>
  <c r="D46" i="1" l="1"/>
  <c r="C47" i="1"/>
  <c r="C48" i="1" l="1"/>
  <c r="D47" i="1"/>
  <c r="C49" i="1" l="1"/>
  <c r="D48" i="1"/>
  <c r="D49" i="1" l="1"/>
  <c r="C50" i="1"/>
  <c r="D50" i="1" s="1"/>
</calcChain>
</file>

<file path=xl/sharedStrings.xml><?xml version="1.0" encoding="utf-8"?>
<sst xmlns="http://schemas.openxmlformats.org/spreadsheetml/2006/main" count="15" uniqueCount="14">
  <si>
    <t>Boules blanches</t>
  </si>
  <si>
    <t>Boules or</t>
  </si>
  <si>
    <t>Prix ($)</t>
  </si>
  <si>
    <t>Nombre de combinaisons</t>
  </si>
  <si>
    <t>Prob.</t>
  </si>
  <si>
    <t>Espérance ($)</t>
  </si>
  <si>
    <t>Total</t>
  </si>
  <si>
    <t>Nb billets</t>
  </si>
  <si>
    <t>Nb gagnants moy.</t>
  </si>
  <si>
    <t>Nb gagnants</t>
  </si>
  <si>
    <t>Prob</t>
  </si>
  <si>
    <t>Nb combinaisons</t>
  </si>
  <si>
    <t>Grand prix ($)</t>
  </si>
  <si>
    <t>Gains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</si>
</sst>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* #,##0.00_)\ &quot;$&quot;_ ;_ * \(#,##0.00\)\ &quot;$&quot;_ ;_ * &quot;-&quot;??_)\ &quot;$&quot;_ ;_ @_ "/>
    <numFmt numFmtId="164" formatCode="0.0%"/>
    <numFmt numFmtId="165" formatCode="0.0000%"/>
    <numFmt numFmtId="166" formatCode="0.00000%"/>
    <numFmt numFmtId="167" formatCode="0.000000%"/>
    <numFmt numFmtId="168" formatCode="0.00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37" fontId="2" fillId="0" borderId="1" xfId="1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 wrapText="1"/>
    </xf>
    <xf numFmtId="168" fontId="2" fillId="0" borderId="1" xfId="2" applyNumberFormat="1" applyFont="1" applyBorder="1" applyAlignment="1">
      <alignment vertical="center"/>
    </xf>
    <xf numFmtId="167" fontId="2" fillId="0" borderId="1" xfId="2" applyNumberFormat="1" applyFont="1" applyBorder="1" applyAlignment="1">
      <alignment vertical="center"/>
    </xf>
    <xf numFmtId="166" fontId="2" fillId="0" borderId="1" xfId="2" applyNumberFormat="1" applyFont="1" applyBorder="1" applyAlignment="1">
      <alignment vertical="center"/>
    </xf>
    <xf numFmtId="165" fontId="2" fillId="0" borderId="1" xfId="2" applyNumberFormat="1" applyFont="1" applyBorder="1" applyAlignment="1">
      <alignment vertical="center"/>
    </xf>
    <xf numFmtId="10" fontId="2" fillId="0" borderId="1" xfId="2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164" fontId="2" fillId="0" borderId="1" xfId="2" applyNumberFormat="1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zoomScale="145" zoomScaleNormal="145" workbookViewId="0"/>
  </sheetViews>
  <sheetFormatPr baseColWidth="10" defaultColWidth="9.140625" defaultRowHeight="14.25" x14ac:dyDescent="0.25"/>
  <cols>
    <col min="1" max="2" width="9.5703125" style="1" customWidth="1"/>
    <col min="3" max="3" width="14.85546875" style="1" bestFit="1" customWidth="1"/>
    <col min="4" max="4" width="14.7109375" style="1" customWidth="1"/>
    <col min="5" max="5" width="14" style="1" bestFit="1" customWidth="1"/>
    <col min="6" max="6" width="9.140625" style="1"/>
    <col min="7" max="7" width="10.140625" style="1" bestFit="1" customWidth="1"/>
    <col min="8" max="8" width="14.140625" style="1" bestFit="1" customWidth="1"/>
    <col min="9" max="16384" width="9.140625" style="1"/>
  </cols>
  <sheetData>
    <row r="1" spans="1:8" ht="42.75" x14ac:dyDescent="0.25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</row>
    <row r="2" spans="1:8" x14ac:dyDescent="0.25">
      <c r="A2" s="14">
        <v>5</v>
      </c>
      <c r="B2" s="14">
        <v>1</v>
      </c>
      <c r="C2" s="7">
        <f>C17/MAX(1,C21)</f>
        <v>474000000</v>
      </c>
      <c r="D2" s="8">
        <f>COMBIN(5,A2)*COMBIN(51,5-A2)*COMBIN(1,B2)*COMBIN(45,1-B2)</f>
        <v>1</v>
      </c>
      <c r="E2" s="9">
        <f>D2/D$14</f>
        <v>5.6911459700631149E-9</v>
      </c>
      <c r="G2" s="4" t="s">
        <v>13</v>
      </c>
      <c r="H2" s="15">
        <f>SUMPRODUCT(C2:C13,D2:D13)-D14</f>
        <v>330267584</v>
      </c>
    </row>
    <row r="3" spans="1:8" x14ac:dyDescent="0.25">
      <c r="A3" s="14">
        <v>5</v>
      </c>
      <c r="B3" s="14">
        <v>0</v>
      </c>
      <c r="C3" s="7">
        <v>250000</v>
      </c>
      <c r="D3" s="8">
        <f t="shared" ref="D3:D13" si="0">COMBIN(5,A3)*COMBIN(51,5-A3)*COMBIN(1,B3)*COMBIN(45,1-B3)</f>
        <v>45</v>
      </c>
      <c r="E3" s="10">
        <f t="shared" ref="E3:E13" si="1">D3/D$14</f>
        <v>2.5610156865284021E-7</v>
      </c>
    </row>
    <row r="4" spans="1:8" x14ac:dyDescent="0.25">
      <c r="A4" s="14">
        <f>A2-1</f>
        <v>4</v>
      </c>
      <c r="B4" s="14">
        <f>B2</f>
        <v>1</v>
      </c>
      <c r="C4" s="7">
        <v>10000</v>
      </c>
      <c r="D4" s="8">
        <f t="shared" si="0"/>
        <v>255</v>
      </c>
      <c r="E4" s="11">
        <f t="shared" si="1"/>
        <v>1.4512422223660944E-6</v>
      </c>
    </row>
    <row r="5" spans="1:8" x14ac:dyDescent="0.25">
      <c r="A5" s="14">
        <f t="shared" ref="A5:A13" si="2">A3-1</f>
        <v>4</v>
      </c>
      <c r="B5" s="14">
        <f t="shared" ref="B5:B13" si="3">B3</f>
        <v>0</v>
      </c>
      <c r="C5" s="7">
        <v>150</v>
      </c>
      <c r="D5" s="8">
        <f t="shared" si="0"/>
        <v>11475</v>
      </c>
      <c r="E5" s="12">
        <f t="shared" si="1"/>
        <v>6.5305900006474253E-5</v>
      </c>
    </row>
    <row r="6" spans="1:8" x14ac:dyDescent="0.25">
      <c r="A6" s="14">
        <f t="shared" si="2"/>
        <v>3</v>
      </c>
      <c r="B6" s="14">
        <f t="shared" si="3"/>
        <v>1</v>
      </c>
      <c r="C6" s="7">
        <v>150</v>
      </c>
      <c r="D6" s="8">
        <f t="shared" si="0"/>
        <v>12750</v>
      </c>
      <c r="E6" s="12">
        <f t="shared" si="1"/>
        <v>7.2562111118304717E-5</v>
      </c>
    </row>
    <row r="7" spans="1:8" x14ac:dyDescent="0.25">
      <c r="A7" s="14">
        <f t="shared" si="2"/>
        <v>3</v>
      </c>
      <c r="B7" s="14">
        <f t="shared" si="3"/>
        <v>0</v>
      </c>
      <c r="C7" s="7">
        <v>7</v>
      </c>
      <c r="D7" s="8">
        <f t="shared" si="0"/>
        <v>573750</v>
      </c>
      <c r="E7" s="13">
        <f t="shared" si="1"/>
        <v>3.2652950003237125E-3</v>
      </c>
    </row>
    <row r="8" spans="1:8" x14ac:dyDescent="0.25">
      <c r="A8" s="14">
        <f t="shared" si="2"/>
        <v>2</v>
      </c>
      <c r="B8" s="14">
        <f t="shared" si="3"/>
        <v>1</v>
      </c>
      <c r="C8" s="7">
        <v>10</v>
      </c>
      <c r="D8" s="8">
        <f t="shared" si="0"/>
        <v>208250.00000000003</v>
      </c>
      <c r="E8" s="13">
        <f t="shared" si="1"/>
        <v>1.1851811482656439E-3</v>
      </c>
    </row>
    <row r="9" spans="1:8" x14ac:dyDescent="0.25">
      <c r="A9" s="14">
        <f t="shared" si="2"/>
        <v>2</v>
      </c>
      <c r="B9" s="14">
        <f t="shared" si="3"/>
        <v>0</v>
      </c>
      <c r="C9" s="7">
        <v>0</v>
      </c>
      <c r="D9" s="8">
        <f t="shared" si="0"/>
        <v>9371250.0000000019</v>
      </c>
      <c r="E9" s="13">
        <f t="shared" si="1"/>
        <v>5.3333151671953981E-2</v>
      </c>
    </row>
    <row r="10" spans="1:8" x14ac:dyDescent="0.25">
      <c r="A10" s="14">
        <f t="shared" si="2"/>
        <v>1</v>
      </c>
      <c r="B10" s="14">
        <f t="shared" si="3"/>
        <v>1</v>
      </c>
      <c r="C10" s="7">
        <v>3</v>
      </c>
      <c r="D10" s="8">
        <f t="shared" si="0"/>
        <v>1249500</v>
      </c>
      <c r="E10" s="13">
        <f t="shared" si="1"/>
        <v>7.111086889593863E-3</v>
      </c>
    </row>
    <row r="11" spans="1:8" x14ac:dyDescent="0.25">
      <c r="A11" s="14">
        <f t="shared" si="2"/>
        <v>1</v>
      </c>
      <c r="B11" s="14">
        <f t="shared" si="3"/>
        <v>0</v>
      </c>
      <c r="C11" s="7">
        <v>0</v>
      </c>
      <c r="D11" s="8">
        <f t="shared" si="0"/>
        <v>56227500</v>
      </c>
      <c r="E11" s="13">
        <f t="shared" si="1"/>
        <v>0.31999891003172382</v>
      </c>
    </row>
    <row r="12" spans="1:8" x14ac:dyDescent="0.25">
      <c r="A12" s="14">
        <f t="shared" si="2"/>
        <v>0</v>
      </c>
      <c r="B12" s="14">
        <f t="shared" si="3"/>
        <v>1</v>
      </c>
      <c r="C12" s="7">
        <v>2</v>
      </c>
      <c r="D12" s="8">
        <f t="shared" si="0"/>
        <v>2349060</v>
      </c>
      <c r="E12" s="13">
        <f t="shared" si="1"/>
        <v>1.3368843352436462E-2</v>
      </c>
    </row>
    <row r="13" spans="1:8" x14ac:dyDescent="0.25">
      <c r="A13" s="14">
        <f t="shared" si="2"/>
        <v>0</v>
      </c>
      <c r="B13" s="14">
        <f t="shared" si="3"/>
        <v>0</v>
      </c>
      <c r="C13" s="7">
        <v>0</v>
      </c>
      <c r="D13" s="8">
        <f t="shared" si="0"/>
        <v>105707700</v>
      </c>
      <c r="E13" s="13">
        <f t="shared" si="1"/>
        <v>0.60159795085964074</v>
      </c>
    </row>
    <row r="14" spans="1:8" x14ac:dyDescent="0.25">
      <c r="C14" s="18" t="s">
        <v>6</v>
      </c>
      <c r="D14" s="15">
        <f>SUM(D2:D13)</f>
        <v>175711536</v>
      </c>
      <c r="E14" s="17">
        <f>D14/D$14</f>
        <v>1</v>
      </c>
    </row>
    <row r="15" spans="1:8" x14ac:dyDescent="0.25">
      <c r="C15" s="18" t="s">
        <v>5</v>
      </c>
      <c r="D15" s="16">
        <f>SUMPRODUCT(C2:C13,E2:E13)</f>
        <v>2.8796010297240806</v>
      </c>
    </row>
    <row r="16" spans="1:8" x14ac:dyDescent="0.25">
      <c r="D16" s="2"/>
    </row>
    <row r="17" spans="1:4" x14ac:dyDescent="0.25">
      <c r="A17" s="19" t="s">
        <v>12</v>
      </c>
      <c r="B17" s="20"/>
      <c r="C17" s="15">
        <v>474000000</v>
      </c>
    </row>
    <row r="18" spans="1:4" x14ac:dyDescent="0.25">
      <c r="A18" s="19" t="s">
        <v>7</v>
      </c>
      <c r="B18" s="20"/>
      <c r="C18" s="15">
        <v>640000000</v>
      </c>
    </row>
    <row r="19" spans="1:4" x14ac:dyDescent="0.25">
      <c r="A19" s="19" t="s">
        <v>11</v>
      </c>
      <c r="B19" s="20"/>
      <c r="C19" s="15">
        <f>D14</f>
        <v>175711536</v>
      </c>
    </row>
    <row r="20" spans="1:4" x14ac:dyDescent="0.25">
      <c r="A20" s="19" t="s">
        <v>8</v>
      </c>
      <c r="B20" s="20"/>
      <c r="C20" s="16">
        <f>C18/D14</f>
        <v>3.6423334208403939</v>
      </c>
    </row>
    <row r="21" spans="1:4" x14ac:dyDescent="0.25">
      <c r="A21" s="19" t="s">
        <v>9</v>
      </c>
      <c r="B21" s="20"/>
      <c r="C21" s="21">
        <v>1</v>
      </c>
    </row>
    <row r="23" spans="1:4" x14ac:dyDescent="0.25">
      <c r="C23" s="4" t="s">
        <v>9</v>
      </c>
      <c r="D23" s="4" t="s">
        <v>10</v>
      </c>
    </row>
    <row r="24" spans="1:4" x14ac:dyDescent="0.25">
      <c r="C24" s="6">
        <v>0</v>
      </c>
      <c r="D24" s="13">
        <f>_xlfn.POISSON.DIST(C24,C$20,0)</f>
        <v>2.6191157613686247E-2</v>
      </c>
    </row>
    <row r="25" spans="1:4" x14ac:dyDescent="0.25">
      <c r="C25" s="6">
        <f>C24+1</f>
        <v>1</v>
      </c>
      <c r="D25" s="13">
        <f>_xlfn.POISSON.DIST(C25,C$20,0)</f>
        <v>9.5396928706827741E-2</v>
      </c>
    </row>
    <row r="26" spans="1:4" x14ac:dyDescent="0.25">
      <c r="C26" s="6">
        <f t="shared" ref="C26:C50" si="4">C25+1</f>
        <v>2</v>
      </c>
      <c r="D26" s="13">
        <f t="shared" ref="D26:D50" si="5">_xlfn.POISSON.DIST(C26,C$20,0)</f>
        <v>0.1737337108372036</v>
      </c>
    </row>
    <row r="27" spans="1:4" x14ac:dyDescent="0.25">
      <c r="C27" s="6">
        <f t="shared" si="4"/>
        <v>3</v>
      </c>
      <c r="D27" s="13">
        <f t="shared" si="5"/>
        <v>0.21093203376965583</v>
      </c>
    </row>
    <row r="28" spans="1:4" x14ac:dyDescent="0.25">
      <c r="C28" s="6">
        <f t="shared" si="4"/>
        <v>4</v>
      </c>
      <c r="D28" s="13">
        <f t="shared" si="5"/>
        <v>0.19207119903126305</v>
      </c>
    </row>
    <row r="29" spans="1:4" x14ac:dyDescent="0.25">
      <c r="C29" s="6">
        <f t="shared" si="4"/>
        <v>5</v>
      </c>
      <c r="D29" s="13">
        <f t="shared" si="5"/>
        <v>0.13991746948249129</v>
      </c>
    </row>
    <row r="30" spans="1:4" x14ac:dyDescent="0.25">
      <c r="C30" s="6">
        <f t="shared" si="4"/>
        <v>6</v>
      </c>
      <c r="D30" s="13">
        <f t="shared" si="5"/>
        <v>8.493767920924894E-2</v>
      </c>
    </row>
    <row r="31" spans="1:4" x14ac:dyDescent="0.25">
      <c r="C31" s="6">
        <f t="shared" si="4"/>
        <v>7</v>
      </c>
      <c r="D31" s="13">
        <f t="shared" si="5"/>
        <v>4.4195906810352577E-2</v>
      </c>
    </row>
    <row r="32" spans="1:4" x14ac:dyDescent="0.25">
      <c r="C32" s="6">
        <f t="shared" si="4"/>
        <v>8</v>
      </c>
      <c r="D32" s="13">
        <f t="shared" si="5"/>
        <v>2.012202855496183E-2</v>
      </c>
    </row>
    <row r="33" spans="3:4" x14ac:dyDescent="0.25">
      <c r="C33" s="6">
        <f t="shared" si="4"/>
        <v>9</v>
      </c>
      <c r="D33" s="13">
        <f t="shared" si="5"/>
        <v>8.1434596778713619E-3</v>
      </c>
    </row>
    <row r="34" spans="3:4" x14ac:dyDescent="0.25">
      <c r="C34" s="6">
        <f t="shared" si="4"/>
        <v>10</v>
      </c>
      <c r="D34" s="13">
        <f t="shared" si="5"/>
        <v>2.9661195345976991E-3</v>
      </c>
    </row>
    <row r="35" spans="3:4" x14ac:dyDescent="0.25">
      <c r="C35" s="6">
        <f t="shared" si="4"/>
        <v>11</v>
      </c>
      <c r="D35" s="13">
        <f t="shared" si="5"/>
        <v>9.8214511918843323E-4</v>
      </c>
    </row>
    <row r="36" spans="3:4" x14ac:dyDescent="0.25">
      <c r="C36" s="6">
        <f t="shared" si="4"/>
        <v>12</v>
      </c>
      <c r="D36" s="13">
        <f t="shared" si="5"/>
        <v>2.9810833264460766E-4</v>
      </c>
    </row>
    <row r="37" spans="3:4" x14ac:dyDescent="0.25">
      <c r="C37" s="6">
        <f t="shared" si="4"/>
        <v>13</v>
      </c>
      <c r="D37" s="13">
        <f t="shared" si="5"/>
        <v>8.3523841770958472E-5</v>
      </c>
    </row>
    <row r="38" spans="3:4" x14ac:dyDescent="0.25">
      <c r="C38" s="6">
        <f t="shared" si="4"/>
        <v>14</v>
      </c>
      <c r="D38" s="13">
        <f t="shared" si="5"/>
        <v>2.1730120022810511E-5</v>
      </c>
    </row>
    <row r="39" spans="3:4" x14ac:dyDescent="0.25">
      <c r="C39" s="6">
        <f t="shared" si="4"/>
        <v>15</v>
      </c>
      <c r="D39" s="13">
        <f t="shared" si="5"/>
        <v>5.2765561598637241E-6</v>
      </c>
    </row>
    <row r="40" spans="3:4" x14ac:dyDescent="0.25">
      <c r="C40" s="6">
        <f t="shared" si="4"/>
        <v>16</v>
      </c>
      <c r="D40" s="13">
        <f t="shared" si="5"/>
        <v>1.201186053000807E-6</v>
      </c>
    </row>
    <row r="41" spans="3:4" x14ac:dyDescent="0.25">
      <c r="C41" s="6">
        <f t="shared" si="4"/>
        <v>17</v>
      </c>
      <c r="D41" s="13">
        <f t="shared" si="5"/>
        <v>2.5736000620542348E-7</v>
      </c>
    </row>
    <row r="42" spans="3:4" x14ac:dyDescent="0.25">
      <c r="C42" s="6">
        <f t="shared" si="4"/>
        <v>18</v>
      </c>
      <c r="D42" s="13">
        <f t="shared" si="5"/>
        <v>5.207727509942778E-8</v>
      </c>
    </row>
    <row r="43" spans="3:4" x14ac:dyDescent="0.25">
      <c r="C43" s="6">
        <f t="shared" si="4"/>
        <v>19</v>
      </c>
      <c r="D43" s="13">
        <f t="shared" si="5"/>
        <v>9.9833052400497779E-9</v>
      </c>
    </row>
    <row r="44" spans="3:4" x14ac:dyDescent="0.25">
      <c r="C44" s="6">
        <f t="shared" si="4"/>
        <v>20</v>
      </c>
      <c r="D44" s="13">
        <f t="shared" si="5"/>
        <v>1.8181263163142155E-9</v>
      </c>
    </row>
    <row r="45" spans="3:4" x14ac:dyDescent="0.25">
      <c r="C45" s="6">
        <f t="shared" si="4"/>
        <v>21</v>
      </c>
      <c r="D45" s="13">
        <f t="shared" si="5"/>
        <v>3.1534391643907996E-10</v>
      </c>
    </row>
    <row r="46" spans="3:4" x14ac:dyDescent="0.25">
      <c r="C46" s="6">
        <f t="shared" si="4"/>
        <v>22</v>
      </c>
      <c r="D46" s="13">
        <f t="shared" si="5"/>
        <v>5.2208531177489241E-11</v>
      </c>
    </row>
    <row r="47" spans="3:4" x14ac:dyDescent="0.25">
      <c r="C47" s="6">
        <f t="shared" si="4"/>
        <v>23</v>
      </c>
      <c r="D47" s="13">
        <f t="shared" si="5"/>
        <v>8.2678642591633767E-12</v>
      </c>
    </row>
    <row r="48" spans="3:4" x14ac:dyDescent="0.25">
      <c r="C48" s="6">
        <f t="shared" si="4"/>
        <v>24</v>
      </c>
      <c r="D48" s="13">
        <f t="shared" si="5"/>
        <v>1.2547632629217717E-12</v>
      </c>
    </row>
    <row r="49" spans="3:4" x14ac:dyDescent="0.25">
      <c r="C49" s="6">
        <f t="shared" si="4"/>
        <v>25</v>
      </c>
      <c r="D49" s="13">
        <f t="shared" si="5"/>
        <v>1.828106467113076E-13</v>
      </c>
    </row>
    <row r="50" spans="3:4" x14ac:dyDescent="0.25">
      <c r="C50" s="6">
        <f t="shared" si="4"/>
        <v>26</v>
      </c>
      <c r="D50" s="13">
        <f t="shared" si="5"/>
        <v>2.560989723854015E-14</v>
      </c>
    </row>
  </sheetData>
  <mergeCells count="5">
    <mergeCell ref="A17:B17"/>
    <mergeCell ref="A18:B18"/>
    <mergeCell ref="A20:B20"/>
    <mergeCell ref="A19:B19"/>
    <mergeCell ref="A21:B2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Méga Millions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</dc:creator>
  <cp:lastModifiedBy>Sylvain Bérubé</cp:lastModifiedBy>
  <dcterms:created xsi:type="dcterms:W3CDTF">2015-06-05T18:19:34Z</dcterms:created>
  <dcterms:modified xsi:type="dcterms:W3CDTF">2021-04-27T18:54:05Z</dcterms:modified>
</cp:coreProperties>
</file>