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Planification\"/>
    </mc:Choice>
  </mc:AlternateContent>
  <xr:revisionPtr revIDLastSave="0" documentId="13_ncr:1_{B7AEA996-DE96-4CCE-8306-532AF3DC19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raire" sheetId="4" r:id="rId1"/>
    <sheet name="Horaire (2021)" sheetId="2" r:id="rId2"/>
    <sheet name="Conten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" l="1"/>
  <c r="D16" i="4"/>
  <c r="D28" i="4"/>
  <c r="D27" i="4"/>
  <c r="D26" i="4"/>
  <c r="D25" i="4"/>
  <c r="D24" i="4"/>
  <c r="D23" i="4"/>
  <c r="D22" i="4"/>
  <c r="D21" i="4"/>
  <c r="D20" i="4"/>
  <c r="D19" i="4"/>
  <c r="D18" i="4"/>
  <c r="D17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" i="2"/>
  <c r="M2" i="2" s="1"/>
  <c r="A5" i="4"/>
  <c r="A11" i="4" s="1"/>
  <c r="A13" i="4" s="1"/>
  <c r="A15" i="4" s="1"/>
  <c r="A16" i="4" s="1"/>
  <c r="A18" i="4" s="1"/>
  <c r="A20" i="4" s="1"/>
  <c r="A22" i="4" s="1"/>
  <c r="A24" i="4" s="1"/>
  <c r="A26" i="4" s="1"/>
  <c r="A28" i="4" s="1"/>
  <c r="A4" i="4"/>
  <c r="A6" i="4" s="1"/>
  <c r="A8" i="4" s="1"/>
  <c r="A10" i="4" s="1"/>
  <c r="A12" i="4" s="1"/>
  <c r="A14" i="4" s="1"/>
  <c r="B3" i="4"/>
  <c r="H2" i="4"/>
  <c r="H3" i="4" s="1"/>
  <c r="H4" i="4" s="1"/>
  <c r="H5" i="4" s="1"/>
  <c r="H6" i="4" s="1"/>
  <c r="H8" i="4" s="1"/>
  <c r="A17" i="4" l="1"/>
  <c r="A19" i="4" s="1"/>
  <c r="A21" i="4" s="1"/>
  <c r="A23" i="4" s="1"/>
  <c r="A25" i="4" s="1"/>
  <c r="A27" i="4" s="1"/>
  <c r="A29" i="4" s="1"/>
  <c r="H9" i="4"/>
  <c r="H10" i="4" s="1"/>
  <c r="H11" i="4" s="1"/>
  <c r="H12" i="4" s="1"/>
  <c r="H13" i="4" s="1"/>
  <c r="H14" i="4" s="1"/>
  <c r="H15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M3" i="4"/>
  <c r="B4" i="4"/>
  <c r="L4" i="2"/>
  <c r="L3" i="2"/>
  <c r="L5" i="2" s="1"/>
  <c r="H29" i="4" l="1"/>
  <c r="B5" i="4"/>
  <c r="M4" i="4"/>
  <c r="A5" i="2"/>
  <c r="A7" i="2" s="1"/>
  <c r="A9" i="2" s="1"/>
  <c r="A11" i="2" s="1"/>
  <c r="A13" i="2" s="1"/>
  <c r="A15" i="2" s="1"/>
  <c r="A17" i="2" s="1"/>
  <c r="A19" i="2" s="1"/>
  <c r="A4" i="2"/>
  <c r="A6" i="2" s="1"/>
  <c r="A8" i="2" s="1"/>
  <c r="A10" i="2" s="1"/>
  <c r="A12" i="2" s="1"/>
  <c r="A14" i="2" s="1"/>
  <c r="A16" i="2" s="1"/>
  <c r="A18" i="2" s="1"/>
  <c r="E5" i="2"/>
  <c r="E7" i="2" s="1"/>
  <c r="E9" i="2" s="1"/>
  <c r="E11" i="2" s="1"/>
  <c r="E13" i="2" s="1"/>
  <c r="E15" i="2" s="1"/>
  <c r="E17" i="2" s="1"/>
  <c r="E19" i="2" s="1"/>
  <c r="E4" i="2"/>
  <c r="E6" i="2" s="1"/>
  <c r="E8" i="2" s="1"/>
  <c r="E10" i="2" s="1"/>
  <c r="E12" i="2" s="1"/>
  <c r="E14" i="2" s="1"/>
  <c r="E16" i="2" s="1"/>
  <c r="E18" i="2" s="1"/>
  <c r="C5" i="2"/>
  <c r="C7" i="2" s="1"/>
  <c r="C9" i="2" s="1"/>
  <c r="C11" i="2" s="1"/>
  <c r="C13" i="2" s="1"/>
  <c r="C4" i="2"/>
  <c r="C6" i="2" s="1"/>
  <c r="C8" i="2" s="1"/>
  <c r="C10" i="2" s="1"/>
  <c r="C12" i="2" s="1"/>
  <c r="B3" i="2"/>
  <c r="L6" i="2"/>
  <c r="L8" i="2" s="1"/>
  <c r="L10" i="2" s="1"/>
  <c r="L12" i="2" s="1"/>
  <c r="L14" i="2" s="1"/>
  <c r="L7" i="2"/>
  <c r="L9" i="2" s="1"/>
  <c r="L11" i="2" s="1"/>
  <c r="L13" i="2" s="1"/>
  <c r="L15" i="2" s="1"/>
  <c r="L17" i="2" l="1"/>
  <c r="D17" i="2" s="1"/>
  <c r="D15" i="2"/>
  <c r="C14" i="2"/>
  <c r="C16" i="2" s="1"/>
  <c r="C18" i="2" s="1"/>
  <c r="C20" i="2" s="1"/>
  <c r="C22" i="2" s="1"/>
  <c r="L16" i="2"/>
  <c r="D14" i="2"/>
  <c r="C21" i="2"/>
  <c r="C23" i="2" s="1"/>
  <c r="C15" i="2"/>
  <c r="C17" i="2" s="1"/>
  <c r="C19" i="2" s="1"/>
  <c r="B6" i="4"/>
  <c r="M5" i="4"/>
  <c r="A20" i="2"/>
  <c r="A22" i="2" s="1"/>
  <c r="L19" i="2"/>
  <c r="D19" i="2" s="1"/>
  <c r="E21" i="2"/>
  <c r="E23" i="2" s="1"/>
  <c r="E25" i="2" s="1"/>
  <c r="E20" i="2"/>
  <c r="E22" i="2" s="1"/>
  <c r="A21" i="2"/>
  <c r="A23" i="2" s="1"/>
  <c r="C24" i="2" l="1"/>
  <c r="C26" i="2" s="1"/>
  <c r="C28" i="2" s="1"/>
  <c r="C30" i="2" s="1"/>
  <c r="C32" i="2" s="1"/>
  <c r="C25" i="2"/>
  <c r="C27" i="2" s="1"/>
  <c r="C29" i="2" s="1"/>
  <c r="C31" i="2" s="1"/>
  <c r="C33" i="2" s="1"/>
  <c r="L18" i="2"/>
  <c r="D16" i="2"/>
  <c r="E24" i="2"/>
  <c r="E26" i="2" s="1"/>
  <c r="E28" i="2" s="1"/>
  <c r="E30" i="2" s="1"/>
  <c r="E32" i="2" s="1"/>
  <c r="A24" i="2"/>
  <c r="A26" i="2" s="1"/>
  <c r="A28" i="2" s="1"/>
  <c r="A30" i="2" s="1"/>
  <c r="A32" i="2" s="1"/>
  <c r="A25" i="2"/>
  <c r="A27" i="2" s="1"/>
  <c r="A29" i="2" s="1"/>
  <c r="A31" i="2" s="1"/>
  <c r="A33" i="2" s="1"/>
  <c r="M6" i="4"/>
  <c r="E27" i="2"/>
  <c r="E29" i="2" s="1"/>
  <c r="E31" i="2" s="1"/>
  <c r="E33" i="2" s="1"/>
  <c r="L21" i="2"/>
  <c r="B4" i="2"/>
  <c r="D3" i="2"/>
  <c r="M3" i="2" s="1"/>
  <c r="D18" i="2" l="1"/>
  <c r="L20" i="2"/>
  <c r="B5" i="2"/>
  <c r="L23" i="2"/>
  <c r="D21" i="2"/>
  <c r="D8" i="2"/>
  <c r="B6" i="2" l="1"/>
  <c r="D20" i="2"/>
  <c r="L22" i="2"/>
  <c r="B9" i="4"/>
  <c r="M8" i="4"/>
  <c r="L25" i="2"/>
  <c r="D25" i="2" s="1"/>
  <c r="D23" i="2"/>
  <c r="D4" i="2"/>
  <c r="M4" i="2" s="1"/>
  <c r="D22" i="2" l="1"/>
  <c r="L24" i="2"/>
  <c r="B7" i="2"/>
  <c r="M9" i="4"/>
  <c r="B10" i="4"/>
  <c r="L27" i="2"/>
  <c r="D6" i="2"/>
  <c r="M6" i="2" s="1"/>
  <c r="H2" i="2"/>
  <c r="H3" i="2" s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B8" i="2" l="1"/>
  <c r="D24" i="2"/>
  <c r="L26" i="2"/>
  <c r="B11" i="4"/>
  <c r="M10" i="4"/>
  <c r="D27" i="2"/>
  <c r="L29" i="2"/>
  <c r="D9" i="2"/>
  <c r="D26" i="2" l="1"/>
  <c r="L28" i="2"/>
  <c r="L31" i="2"/>
  <c r="D29" i="2"/>
  <c r="B9" i="2"/>
  <c r="M8" i="2"/>
  <c r="B12" i="4"/>
  <c r="M11" i="4"/>
  <c r="D11" i="2"/>
  <c r="D5" i="2"/>
  <c r="M5" i="2" s="1"/>
  <c r="B10" i="2" l="1"/>
  <c r="M9" i="2"/>
  <c r="L33" i="2"/>
  <c r="D33" i="2" s="1"/>
  <c r="D31" i="2"/>
  <c r="D28" i="2"/>
  <c r="L30" i="2"/>
  <c r="M12" i="4"/>
  <c r="B13" i="4"/>
  <c r="D7" i="2"/>
  <c r="M7" i="2" s="1"/>
  <c r="D13" i="2"/>
  <c r="L32" i="2" l="1"/>
  <c r="D32" i="2" s="1"/>
  <c r="D30" i="2"/>
  <c r="B11" i="2"/>
  <c r="B14" i="4"/>
  <c r="M13" i="4"/>
  <c r="D10" i="2"/>
  <c r="M10" i="2" s="1"/>
  <c r="B12" i="2" l="1"/>
  <c r="M11" i="2"/>
  <c r="B15" i="4"/>
  <c r="B16" i="4" s="1"/>
  <c r="M14" i="4"/>
  <c r="D12" i="2"/>
  <c r="B13" i="2" l="1"/>
  <c r="M12" i="2"/>
  <c r="M15" i="4"/>
  <c r="M13" i="2" l="1"/>
  <c r="B14" i="2"/>
  <c r="B15" i="2" l="1"/>
  <c r="M14" i="2"/>
  <c r="B17" i="4"/>
  <c r="M16" i="4"/>
  <c r="M15" i="2" l="1"/>
  <c r="B16" i="2"/>
  <c r="M17" i="4"/>
  <c r="B18" i="4"/>
  <c r="M16" i="2" l="1"/>
  <c r="B17" i="2"/>
  <c r="B19" i="4"/>
  <c r="M18" i="4"/>
  <c r="M17" i="2" l="1"/>
  <c r="B18" i="2"/>
  <c r="B20" i="4"/>
  <c r="M19" i="4"/>
  <c r="M18" i="2" l="1"/>
  <c r="B19" i="2"/>
  <c r="M20" i="4"/>
  <c r="B21" i="4"/>
  <c r="M19" i="2" l="1"/>
  <c r="B20" i="2"/>
  <c r="B22" i="4"/>
  <c r="M21" i="4"/>
  <c r="M20" i="2" l="1"/>
  <c r="B21" i="2"/>
  <c r="B23" i="4"/>
  <c r="M22" i="4"/>
  <c r="M21" i="2" l="1"/>
  <c r="B22" i="2"/>
  <c r="M23" i="4"/>
  <c r="B24" i="4"/>
  <c r="M22" i="2" l="1"/>
  <c r="B23" i="2"/>
  <c r="B25" i="4"/>
  <c r="M24" i="4"/>
  <c r="M23" i="2" l="1"/>
  <c r="B24" i="2"/>
  <c r="B26" i="4"/>
  <c r="M25" i="4"/>
  <c r="M24" i="2" l="1"/>
  <c r="B25" i="2"/>
  <c r="M26" i="4"/>
  <c r="B27" i="4"/>
  <c r="M25" i="2" l="1"/>
  <c r="B26" i="2"/>
  <c r="B28" i="4"/>
  <c r="M27" i="4"/>
  <c r="M26" i="2" l="1"/>
  <c r="B27" i="2"/>
  <c r="B29" i="4"/>
  <c r="M28" i="4"/>
  <c r="B28" i="2" l="1"/>
  <c r="M27" i="2"/>
  <c r="M29" i="4"/>
  <c r="B29" i="2" l="1"/>
  <c r="M28" i="2"/>
  <c r="B30" i="2" l="1"/>
  <c r="M29" i="2"/>
  <c r="M2" i="4"/>
  <c r="M30" i="2" l="1"/>
  <c r="B31" i="2"/>
  <c r="M31" i="2" l="1"/>
  <c r="B32" i="2"/>
  <c r="M32" i="2" l="1"/>
  <c r="B33" i="2"/>
  <c r="M33" i="2" s="1"/>
</calcChain>
</file>

<file path=xl/sharedStrings.xml><?xml version="1.0" encoding="utf-8"?>
<sst xmlns="http://schemas.openxmlformats.org/spreadsheetml/2006/main" count="236" uniqueCount="38">
  <si>
    <t>Séance</t>
  </si>
  <si>
    <t>Date</t>
  </si>
  <si>
    <t>Durée (h)</t>
  </si>
  <si>
    <t>Total (h)</t>
  </si>
  <si>
    <t>Commentaire</t>
  </si>
  <si>
    <t>Jour</t>
  </si>
  <si>
    <t>Local</t>
  </si>
  <si>
    <t>Heure</t>
  </si>
  <si>
    <t>Contenu</t>
  </si>
  <si>
    <t>Mardi</t>
  </si>
  <si>
    <t>13 h 30</t>
  </si>
  <si>
    <t>10 h 30</t>
  </si>
  <si>
    <t>Semaine</t>
  </si>
  <si>
    <t>Sections</t>
  </si>
  <si>
    <r>
      <t xml:space="preserve">Évaluations
</t>
    </r>
    <r>
      <rPr>
        <sz val="11"/>
        <color theme="1"/>
        <rFont val="Cambria"/>
        <family val="1"/>
      </rPr>
      <t>(remise)</t>
    </r>
  </si>
  <si>
    <t>Mercredi</t>
  </si>
  <si>
    <t>Devoir 0</t>
  </si>
  <si>
    <t>Devoir 2</t>
  </si>
  <si>
    <t>—</t>
  </si>
  <si>
    <t>Examen 1</t>
  </si>
  <si>
    <t>Examen 2</t>
  </si>
  <si>
    <t>Devoir 1</t>
  </si>
  <si>
    <t>Chapitre 1</t>
  </si>
  <si>
    <t>Chapitre 2</t>
  </si>
  <si>
    <t>Chapitre 3</t>
  </si>
  <si>
    <t>Chapitre 4</t>
  </si>
  <si>
    <t>Chapitre 5</t>
  </si>
  <si>
    <t>Devoir 3</t>
  </si>
  <si>
    <t>Devoir 4</t>
  </si>
  <si>
    <t>Vendredi</t>
  </si>
  <si>
    <t>10h30</t>
  </si>
  <si>
    <t>08h30</t>
  </si>
  <si>
    <t>Intro</t>
  </si>
  <si>
    <t>Festival des harmonies</t>
  </si>
  <si>
    <t>D3-2031</t>
  </si>
  <si>
    <t>Jeudi</t>
  </si>
  <si>
    <t>13h30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</si>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</sst>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_$_ ;_ * \(#,##0.00\)\ _$_ ;_ * &quot;-&quot;??_)\ _$_ ;_ @_ "/>
    <numFmt numFmtId="165" formatCode="yyyy\-mm\-dd;@"/>
    <numFmt numFmtId="166" formatCode="[$-F800]dddd\,\ mmmm\ dd\,\ yyyy"/>
  </numFmts>
  <fonts count="7" x14ac:knownFonts="1">
    <font>
      <sz val="12"/>
      <color theme="1"/>
      <name val="Cambria"/>
      <family val="2"/>
    </font>
    <font>
      <sz val="12"/>
      <color theme="1"/>
      <name val="Cambria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theme="0" tint="-0.499984740745262"/>
      <name val="Cambria"/>
      <family val="1"/>
    </font>
    <font>
      <b/>
      <sz val="11"/>
      <color theme="0" tint="-0.499984740745262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left" vertical="center"/>
    </xf>
    <xf numFmtId="164" fontId="3" fillId="2" borderId="1" xfId="1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166" fontId="3" fillId="2" borderId="1" xfId="1" applyNumberFormat="1" applyFont="1" applyFill="1" applyBorder="1" applyAlignment="1">
      <alignment horizontal="left" vertical="center"/>
    </xf>
    <xf numFmtId="165" fontId="3" fillId="0" borderId="1" xfId="0" quotePrefix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left" vertical="center"/>
    </xf>
    <xf numFmtId="166" fontId="5" fillId="2" borderId="1" xfId="1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130" zoomScaleNormal="130" workbookViewId="0">
      <pane ySplit="1" topLeftCell="A20" activePane="bottomLeft" state="frozen"/>
      <selection pane="bottomLeft" activeCell="A22" sqref="A22"/>
    </sheetView>
  </sheetViews>
  <sheetFormatPr baseColWidth="10" defaultColWidth="11.5546875" defaultRowHeight="33" customHeight="1" x14ac:dyDescent="0.25"/>
  <cols>
    <col min="1" max="1" width="8.21875" style="3" bestFit="1" customWidth="1"/>
    <col min="2" max="2" width="6.6640625" style="10" bestFit="1" customWidth="1"/>
    <col min="3" max="3" width="7.109375" style="10" bestFit="1" customWidth="1"/>
    <col min="4" max="4" width="7" style="10" bestFit="1" customWidth="1"/>
    <col min="5" max="5" width="5.88671875" style="10" bestFit="1" customWidth="1"/>
    <col min="6" max="6" width="7.109375" style="10" bestFit="1" customWidth="1"/>
    <col min="7" max="7" width="9" style="10" bestFit="1" customWidth="1"/>
    <col min="8" max="8" width="8.44140625" style="10" bestFit="1" customWidth="1"/>
    <col min="9" max="9" width="8" style="10" bestFit="1" customWidth="1"/>
    <col min="10" max="10" width="10.77734375" style="10" bestFit="1" customWidth="1"/>
    <col min="11" max="11" width="16.6640625" style="12" bestFit="1" customWidth="1"/>
    <col min="12" max="12" width="9.33203125" style="10" bestFit="1" customWidth="1"/>
    <col min="13" max="13" width="16.6640625" style="3" bestFit="1" customWidth="1"/>
    <col min="14" max="16384" width="11.5546875" style="3"/>
  </cols>
  <sheetData>
    <row r="1" spans="1:13" ht="33" customHeight="1" x14ac:dyDescent="0.25">
      <c r="A1" s="1" t="s">
        <v>12</v>
      </c>
      <c r="B1" s="1" t="s">
        <v>0</v>
      </c>
      <c r="C1" s="1" t="s">
        <v>5</v>
      </c>
      <c r="D1" s="1" t="s">
        <v>5</v>
      </c>
      <c r="E1" s="1" t="s">
        <v>7</v>
      </c>
      <c r="F1" s="1" t="s">
        <v>6</v>
      </c>
      <c r="G1" s="1" t="s">
        <v>2</v>
      </c>
      <c r="H1" s="1" t="s">
        <v>3</v>
      </c>
      <c r="I1" s="1" t="s">
        <v>8</v>
      </c>
      <c r="J1" s="2" t="s">
        <v>14</v>
      </c>
      <c r="K1" s="1" t="s">
        <v>4</v>
      </c>
      <c r="L1" s="23" t="s">
        <v>1</v>
      </c>
    </row>
    <row r="2" spans="1:13" ht="33" customHeight="1" x14ac:dyDescent="0.25">
      <c r="A2" s="4">
        <v>1</v>
      </c>
      <c r="B2" s="4">
        <v>1</v>
      </c>
      <c r="C2" s="5" t="s">
        <v>15</v>
      </c>
      <c r="D2" s="20" t="str">
        <f>DAY(L2)&amp;" "&amp;CHOOSE(MONTH(L2),"Janvier","Février","mars","avril","mai","juin","Juillet","Août","Septembre","Octobre","Novembre","Décembre")</f>
        <v>1 mai</v>
      </c>
      <c r="E2" s="7" t="s">
        <v>30</v>
      </c>
      <c r="F2" s="8" t="s">
        <v>34</v>
      </c>
      <c r="G2" s="9">
        <v>2</v>
      </c>
      <c r="H2" s="9">
        <f>G2</f>
        <v>2</v>
      </c>
      <c r="I2" s="13" t="s">
        <v>32</v>
      </c>
      <c r="J2" s="9" t="s">
        <v>18</v>
      </c>
      <c r="K2" s="13"/>
      <c r="L2" s="22">
        <v>45413</v>
      </c>
      <c r="M2" s="19" t="str">
        <f>B$1&amp;" "&amp;B2&amp;" ("&amp;D2&amp;") : Préparer"</f>
        <v>Séance 1 (1 mai) : Préparer</v>
      </c>
    </row>
    <row r="3" spans="1:13" ht="33" customHeight="1" x14ac:dyDescent="0.25">
      <c r="A3" s="4">
        <v>1</v>
      </c>
      <c r="B3" s="4">
        <f t="shared" ref="B3:B29" si="0">B2+1</f>
        <v>2</v>
      </c>
      <c r="C3" s="5" t="s">
        <v>29</v>
      </c>
      <c r="D3" s="20" t="str">
        <f t="shared" ref="D3:D29" si="1">DAY(L3)&amp;" "&amp;CHOOSE(MONTH(L3),"Janvier","Février","mars","avril","mai","juin","Juillet","Août","Septembre","Octobre","Novembre","Décembre")</f>
        <v>3 mai</v>
      </c>
      <c r="E3" s="21" t="s">
        <v>31</v>
      </c>
      <c r="F3" s="8" t="s">
        <v>34</v>
      </c>
      <c r="G3" s="9">
        <v>2</v>
      </c>
      <c r="H3" s="9">
        <f>H2+G3</f>
        <v>4</v>
      </c>
      <c r="I3" s="13" t="s">
        <v>22</v>
      </c>
      <c r="J3" s="9" t="s">
        <v>18</v>
      </c>
      <c r="K3" s="13"/>
      <c r="L3" s="22">
        <v>45415</v>
      </c>
      <c r="M3" s="19" t="str">
        <f t="shared" ref="M3:M29" si="2">B$1&amp;" "&amp;B3&amp;" ("&amp;D3&amp;") : Préparer"</f>
        <v>Séance 2 (3 mai) : Préparer</v>
      </c>
    </row>
    <row r="4" spans="1:13" ht="33" customHeight="1" x14ac:dyDescent="0.25">
      <c r="A4" s="4">
        <f>A2+1</f>
        <v>2</v>
      </c>
      <c r="B4" s="4">
        <f t="shared" si="0"/>
        <v>3</v>
      </c>
      <c r="C4" s="5" t="s">
        <v>15</v>
      </c>
      <c r="D4" s="20" t="str">
        <f t="shared" si="1"/>
        <v>8 mai</v>
      </c>
      <c r="E4" s="7" t="s">
        <v>30</v>
      </c>
      <c r="F4" s="8" t="s">
        <v>34</v>
      </c>
      <c r="G4" s="9">
        <v>2</v>
      </c>
      <c r="H4" s="9">
        <f t="shared" ref="H4:H28" si="3">H3+G4</f>
        <v>6</v>
      </c>
      <c r="I4" s="13" t="s">
        <v>22</v>
      </c>
      <c r="J4" s="9" t="s">
        <v>18</v>
      </c>
      <c r="K4" s="13"/>
      <c r="L4" s="22">
        <v>45420</v>
      </c>
      <c r="M4" s="19" t="str">
        <f t="shared" si="2"/>
        <v>Séance 3 (8 mai) : Préparer</v>
      </c>
    </row>
    <row r="5" spans="1:13" ht="33" customHeight="1" x14ac:dyDescent="0.25">
      <c r="A5" s="4">
        <f t="shared" ref="A5:A29" si="4">A3+1</f>
        <v>2</v>
      </c>
      <c r="B5" s="4">
        <f t="shared" si="0"/>
        <v>4</v>
      </c>
      <c r="C5" s="5" t="s">
        <v>29</v>
      </c>
      <c r="D5" s="20" t="str">
        <f t="shared" si="1"/>
        <v>10 mai</v>
      </c>
      <c r="E5" s="7" t="s">
        <v>31</v>
      </c>
      <c r="F5" s="8" t="s">
        <v>34</v>
      </c>
      <c r="G5" s="9">
        <v>2</v>
      </c>
      <c r="H5" s="9">
        <f t="shared" si="3"/>
        <v>8</v>
      </c>
      <c r="I5" s="13" t="s">
        <v>22</v>
      </c>
      <c r="J5" s="9" t="s">
        <v>16</v>
      </c>
      <c r="K5" s="13"/>
      <c r="L5" s="22">
        <v>45422</v>
      </c>
      <c r="M5" s="19" t="str">
        <f t="shared" si="2"/>
        <v>Séance 4 (10 mai) : Préparer</v>
      </c>
    </row>
    <row r="6" spans="1:13" ht="33" customHeight="1" x14ac:dyDescent="0.25">
      <c r="A6" s="4">
        <f t="shared" si="4"/>
        <v>3</v>
      </c>
      <c r="B6" s="4">
        <f t="shared" si="0"/>
        <v>5</v>
      </c>
      <c r="C6" s="5" t="s">
        <v>15</v>
      </c>
      <c r="D6" s="20" t="str">
        <f t="shared" si="1"/>
        <v>15 mai</v>
      </c>
      <c r="E6" s="7" t="s">
        <v>30</v>
      </c>
      <c r="F6" s="8" t="s">
        <v>34</v>
      </c>
      <c r="G6" s="9">
        <v>2</v>
      </c>
      <c r="H6" s="9">
        <f t="shared" si="3"/>
        <v>10</v>
      </c>
      <c r="I6" s="13" t="s">
        <v>23</v>
      </c>
      <c r="J6" s="9" t="s">
        <v>18</v>
      </c>
      <c r="K6" s="13"/>
      <c r="L6" s="22">
        <v>45427</v>
      </c>
      <c r="M6" s="19" t="str">
        <f t="shared" si="2"/>
        <v>Séance 5 (15 mai) : Préparer</v>
      </c>
    </row>
    <row r="7" spans="1:13" ht="33" customHeight="1" x14ac:dyDescent="0.25">
      <c r="A7" s="26" t="s">
        <v>18</v>
      </c>
      <c r="B7" s="26" t="s">
        <v>18</v>
      </c>
      <c r="C7" s="24" t="s">
        <v>29</v>
      </c>
      <c r="D7" s="25" t="str">
        <f t="shared" si="1"/>
        <v>17 mai</v>
      </c>
      <c r="E7" s="22" t="s">
        <v>18</v>
      </c>
      <c r="F7" s="22" t="s">
        <v>18</v>
      </c>
      <c r="G7" s="22" t="s">
        <v>18</v>
      </c>
      <c r="H7" s="22" t="s">
        <v>18</v>
      </c>
      <c r="I7" s="27" t="s">
        <v>18</v>
      </c>
      <c r="J7" s="27" t="s">
        <v>18</v>
      </c>
      <c r="K7" s="28" t="s">
        <v>33</v>
      </c>
      <c r="L7" s="22">
        <v>45429</v>
      </c>
      <c r="M7" s="19"/>
    </row>
    <row r="8" spans="1:13" ht="33" customHeight="1" x14ac:dyDescent="0.25">
      <c r="A8" s="4">
        <f t="shared" si="4"/>
        <v>4</v>
      </c>
      <c r="B8" s="4">
        <v>6</v>
      </c>
      <c r="C8" s="5" t="s">
        <v>15</v>
      </c>
      <c r="D8" s="20" t="str">
        <f t="shared" si="1"/>
        <v>22 mai</v>
      </c>
      <c r="E8" s="7" t="s">
        <v>30</v>
      </c>
      <c r="F8" s="8" t="s">
        <v>34</v>
      </c>
      <c r="G8" s="9">
        <v>2</v>
      </c>
      <c r="H8" s="9">
        <f>H6+G8</f>
        <v>12</v>
      </c>
      <c r="I8" s="13" t="s">
        <v>23</v>
      </c>
      <c r="J8" s="9" t="s">
        <v>18</v>
      </c>
      <c r="K8" s="13"/>
      <c r="L8" s="22">
        <v>45434</v>
      </c>
      <c r="M8" s="19" t="str">
        <f t="shared" si="2"/>
        <v>Séance 6 (22 mai) : Préparer</v>
      </c>
    </row>
    <row r="9" spans="1:13" ht="33" customHeight="1" x14ac:dyDescent="0.25">
      <c r="A9" s="4">
        <v>4</v>
      </c>
      <c r="B9" s="4">
        <f t="shared" si="0"/>
        <v>7</v>
      </c>
      <c r="C9" s="5" t="s">
        <v>29</v>
      </c>
      <c r="D9" s="20" t="str">
        <f t="shared" si="1"/>
        <v>24 mai</v>
      </c>
      <c r="E9" s="7" t="s">
        <v>31</v>
      </c>
      <c r="F9" s="8" t="s">
        <v>34</v>
      </c>
      <c r="G9" s="9">
        <v>2</v>
      </c>
      <c r="H9" s="9">
        <f t="shared" si="3"/>
        <v>14</v>
      </c>
      <c r="I9" s="13" t="s">
        <v>23</v>
      </c>
      <c r="J9" s="9" t="s">
        <v>18</v>
      </c>
      <c r="K9" s="13"/>
      <c r="L9" s="22">
        <v>45436</v>
      </c>
      <c r="M9" s="19" t="str">
        <f t="shared" si="2"/>
        <v>Séance 7 (24 mai) : Préparer</v>
      </c>
    </row>
    <row r="10" spans="1:13" ht="33" customHeight="1" x14ac:dyDescent="0.25">
      <c r="A10" s="4">
        <f t="shared" si="4"/>
        <v>5</v>
      </c>
      <c r="B10" s="4">
        <f t="shared" si="0"/>
        <v>8</v>
      </c>
      <c r="C10" s="5" t="s">
        <v>15</v>
      </c>
      <c r="D10" s="20" t="str">
        <f t="shared" si="1"/>
        <v>29 mai</v>
      </c>
      <c r="E10" s="7" t="s">
        <v>30</v>
      </c>
      <c r="F10" s="8" t="s">
        <v>34</v>
      </c>
      <c r="G10" s="9">
        <v>2</v>
      </c>
      <c r="H10" s="9">
        <f t="shared" si="3"/>
        <v>16</v>
      </c>
      <c r="I10" s="13" t="s">
        <v>23</v>
      </c>
      <c r="J10" s="9" t="s">
        <v>21</v>
      </c>
      <c r="K10" s="13"/>
      <c r="L10" s="22">
        <v>45441</v>
      </c>
      <c r="M10" s="19" t="str">
        <f t="shared" si="2"/>
        <v>Séance 8 (29 mai) : Préparer</v>
      </c>
    </row>
    <row r="11" spans="1:13" ht="33" customHeight="1" x14ac:dyDescent="0.25">
      <c r="A11" s="4">
        <f t="shared" si="4"/>
        <v>5</v>
      </c>
      <c r="B11" s="4">
        <f t="shared" si="0"/>
        <v>9</v>
      </c>
      <c r="C11" s="5" t="s">
        <v>29</v>
      </c>
      <c r="D11" s="20" t="str">
        <f t="shared" si="1"/>
        <v>31 mai</v>
      </c>
      <c r="E11" s="7" t="s">
        <v>31</v>
      </c>
      <c r="F11" s="8" t="s">
        <v>34</v>
      </c>
      <c r="G11" s="9">
        <v>2</v>
      </c>
      <c r="H11" s="9">
        <f t="shared" si="3"/>
        <v>18</v>
      </c>
      <c r="I11" s="13" t="s">
        <v>23</v>
      </c>
      <c r="J11" s="9" t="s">
        <v>18</v>
      </c>
      <c r="K11" s="13"/>
      <c r="L11" s="22">
        <v>45443</v>
      </c>
      <c r="M11" s="19" t="str">
        <f t="shared" si="2"/>
        <v>Séance 9 (31 mai) : Préparer</v>
      </c>
    </row>
    <row r="12" spans="1:13" ht="33" customHeight="1" x14ac:dyDescent="0.25">
      <c r="A12" s="4">
        <f t="shared" si="4"/>
        <v>6</v>
      </c>
      <c r="B12" s="4">
        <f t="shared" si="0"/>
        <v>10</v>
      </c>
      <c r="C12" s="5" t="s">
        <v>15</v>
      </c>
      <c r="D12" s="20" t="str">
        <f t="shared" si="1"/>
        <v>5 juin</v>
      </c>
      <c r="E12" s="7" t="s">
        <v>30</v>
      </c>
      <c r="F12" s="8" t="s">
        <v>34</v>
      </c>
      <c r="G12" s="9">
        <v>2</v>
      </c>
      <c r="H12" s="9">
        <f t="shared" si="3"/>
        <v>20</v>
      </c>
      <c r="I12" s="13" t="s">
        <v>23</v>
      </c>
      <c r="J12" s="9" t="s">
        <v>18</v>
      </c>
      <c r="K12" s="13"/>
      <c r="L12" s="22">
        <v>45448</v>
      </c>
      <c r="M12" s="19" t="str">
        <f t="shared" si="2"/>
        <v>Séance 10 (5 juin) : Préparer</v>
      </c>
    </row>
    <row r="13" spans="1:13" ht="33" customHeight="1" x14ac:dyDescent="0.25">
      <c r="A13" s="4">
        <f t="shared" si="4"/>
        <v>6</v>
      </c>
      <c r="B13" s="4">
        <f t="shared" si="0"/>
        <v>11</v>
      </c>
      <c r="C13" s="5" t="s">
        <v>29</v>
      </c>
      <c r="D13" s="20" t="str">
        <f t="shared" si="1"/>
        <v>7 juin</v>
      </c>
      <c r="E13" s="7" t="s">
        <v>31</v>
      </c>
      <c r="F13" s="8" t="s">
        <v>34</v>
      </c>
      <c r="G13" s="9">
        <v>2</v>
      </c>
      <c r="H13" s="9">
        <f t="shared" si="3"/>
        <v>22</v>
      </c>
      <c r="I13" s="13" t="s">
        <v>23</v>
      </c>
      <c r="J13" s="9" t="s">
        <v>18</v>
      </c>
      <c r="K13" s="13"/>
      <c r="L13" s="22">
        <v>45450</v>
      </c>
      <c r="M13" s="19" t="str">
        <f t="shared" si="2"/>
        <v>Séance 11 (7 juin) : Préparer</v>
      </c>
    </row>
    <row r="14" spans="1:13" ht="33" customHeight="1" x14ac:dyDescent="0.25">
      <c r="A14" s="4">
        <f t="shared" si="4"/>
        <v>7</v>
      </c>
      <c r="B14" s="4">
        <f t="shared" si="0"/>
        <v>12</v>
      </c>
      <c r="C14" s="5" t="s">
        <v>15</v>
      </c>
      <c r="D14" s="20" t="str">
        <f t="shared" si="1"/>
        <v>12 juin</v>
      </c>
      <c r="E14" s="7" t="s">
        <v>30</v>
      </c>
      <c r="F14" s="8" t="s">
        <v>34</v>
      </c>
      <c r="G14" s="9">
        <v>2</v>
      </c>
      <c r="H14" s="9">
        <f t="shared" si="3"/>
        <v>24</v>
      </c>
      <c r="I14" s="13" t="s">
        <v>23</v>
      </c>
      <c r="J14" s="9" t="s">
        <v>18</v>
      </c>
      <c r="K14" s="13"/>
      <c r="L14" s="22">
        <v>45455</v>
      </c>
      <c r="M14" s="19" t="str">
        <f t="shared" si="2"/>
        <v>Séance 12 (12 juin) : Préparer</v>
      </c>
    </row>
    <row r="15" spans="1:13" ht="33" customHeight="1" x14ac:dyDescent="0.25">
      <c r="A15" s="4">
        <f t="shared" si="4"/>
        <v>7</v>
      </c>
      <c r="B15" s="4">
        <f t="shared" si="0"/>
        <v>13</v>
      </c>
      <c r="C15" s="5" t="s">
        <v>29</v>
      </c>
      <c r="D15" s="20" t="str">
        <f t="shared" si="1"/>
        <v>14 juin</v>
      </c>
      <c r="E15" s="7" t="s">
        <v>31</v>
      </c>
      <c r="F15" s="8" t="s">
        <v>34</v>
      </c>
      <c r="G15" s="9">
        <v>2</v>
      </c>
      <c r="H15" s="9">
        <f t="shared" si="3"/>
        <v>26</v>
      </c>
      <c r="I15" s="13" t="s">
        <v>23</v>
      </c>
      <c r="J15" s="9" t="s">
        <v>17</v>
      </c>
      <c r="K15" s="13"/>
      <c r="L15" s="22">
        <v>45457</v>
      </c>
      <c r="M15" s="19" t="str">
        <f t="shared" si="2"/>
        <v>Séance 13 (14 juin) : Préparer</v>
      </c>
    </row>
    <row r="16" spans="1:13" ht="33" customHeight="1" x14ac:dyDescent="0.25">
      <c r="A16" s="4">
        <f>A15+1</f>
        <v>8</v>
      </c>
      <c r="B16" s="4">
        <f>B15+1</f>
        <v>14</v>
      </c>
      <c r="C16" s="5" t="s">
        <v>9</v>
      </c>
      <c r="D16" s="20" t="str">
        <f>DAY(L16)&amp;" "&amp;CHOOSE(MONTH(L16),"Janvier","Février","mars","avril","mai","juin","Juillet","Août","Septembre","Octobre","Novembre","Décembre")</f>
        <v>25 juin</v>
      </c>
      <c r="E16" s="7" t="s">
        <v>31</v>
      </c>
      <c r="F16" s="8" t="s">
        <v>34</v>
      </c>
      <c r="G16" s="9">
        <v>2</v>
      </c>
      <c r="H16" s="9">
        <v>28</v>
      </c>
      <c r="I16" s="9" t="s">
        <v>18</v>
      </c>
      <c r="J16" s="9" t="s">
        <v>19</v>
      </c>
      <c r="K16" s="13"/>
      <c r="L16" s="22">
        <v>45468</v>
      </c>
      <c r="M16" s="19" t="str">
        <f t="shared" si="2"/>
        <v>Séance 14 (25 juin) : Préparer</v>
      </c>
    </row>
    <row r="17" spans="1:13" ht="33" customHeight="1" x14ac:dyDescent="0.25">
      <c r="A17" s="4">
        <f>A16+1</f>
        <v>9</v>
      </c>
      <c r="B17" s="4">
        <f t="shared" si="0"/>
        <v>15</v>
      </c>
      <c r="C17" s="5" t="s">
        <v>15</v>
      </c>
      <c r="D17" s="20" t="str">
        <f t="shared" si="1"/>
        <v>26 juin</v>
      </c>
      <c r="E17" s="7" t="s">
        <v>30</v>
      </c>
      <c r="F17" s="8" t="s">
        <v>34</v>
      </c>
      <c r="G17" s="9">
        <v>2</v>
      </c>
      <c r="H17" s="9">
        <f t="shared" si="3"/>
        <v>30</v>
      </c>
      <c r="I17" s="13" t="s">
        <v>24</v>
      </c>
      <c r="J17" s="9" t="s">
        <v>18</v>
      </c>
      <c r="K17" s="13"/>
      <c r="L17" s="22">
        <v>45469</v>
      </c>
      <c r="M17" s="19" t="str">
        <f t="shared" si="2"/>
        <v>Séance 15 (26 juin) : Préparer</v>
      </c>
    </row>
    <row r="18" spans="1:13" ht="33" customHeight="1" x14ac:dyDescent="0.25">
      <c r="A18" s="4">
        <f t="shared" si="4"/>
        <v>9</v>
      </c>
      <c r="B18" s="4">
        <f t="shared" si="0"/>
        <v>16</v>
      </c>
      <c r="C18" s="5" t="s">
        <v>29</v>
      </c>
      <c r="D18" s="20" t="str">
        <f t="shared" si="1"/>
        <v>28 juin</v>
      </c>
      <c r="E18" s="7" t="s">
        <v>31</v>
      </c>
      <c r="F18" s="8" t="s">
        <v>34</v>
      </c>
      <c r="G18" s="9">
        <v>2</v>
      </c>
      <c r="H18" s="9">
        <f t="shared" si="3"/>
        <v>32</v>
      </c>
      <c r="I18" s="13" t="s">
        <v>24</v>
      </c>
      <c r="J18" s="9" t="s">
        <v>18</v>
      </c>
      <c r="K18" s="13"/>
      <c r="L18" s="22">
        <v>45471</v>
      </c>
      <c r="M18" s="19" t="str">
        <f t="shared" si="2"/>
        <v>Séance 16 (28 juin) : Préparer</v>
      </c>
    </row>
    <row r="19" spans="1:13" ht="33" customHeight="1" x14ac:dyDescent="0.25">
      <c r="A19" s="4">
        <f t="shared" si="4"/>
        <v>10</v>
      </c>
      <c r="B19" s="4">
        <f t="shared" si="0"/>
        <v>17</v>
      </c>
      <c r="C19" s="5" t="s">
        <v>15</v>
      </c>
      <c r="D19" s="20" t="str">
        <f t="shared" si="1"/>
        <v>3 Juillet</v>
      </c>
      <c r="E19" s="7" t="s">
        <v>30</v>
      </c>
      <c r="F19" s="8" t="s">
        <v>34</v>
      </c>
      <c r="G19" s="9">
        <v>2</v>
      </c>
      <c r="H19" s="9">
        <f t="shared" si="3"/>
        <v>34</v>
      </c>
      <c r="I19" s="13" t="s">
        <v>24</v>
      </c>
      <c r="J19" s="9" t="s">
        <v>18</v>
      </c>
      <c r="K19" s="13"/>
      <c r="L19" s="22">
        <v>45476</v>
      </c>
      <c r="M19" s="19" t="str">
        <f t="shared" si="2"/>
        <v>Séance 17 (3 Juillet) : Préparer</v>
      </c>
    </row>
    <row r="20" spans="1:13" ht="33" customHeight="1" x14ac:dyDescent="0.25">
      <c r="A20" s="4">
        <f t="shared" si="4"/>
        <v>10</v>
      </c>
      <c r="B20" s="4">
        <f t="shared" si="0"/>
        <v>18</v>
      </c>
      <c r="C20" s="5" t="s">
        <v>29</v>
      </c>
      <c r="D20" s="20" t="str">
        <f t="shared" si="1"/>
        <v>5 Juillet</v>
      </c>
      <c r="E20" s="7" t="s">
        <v>31</v>
      </c>
      <c r="F20" s="8" t="s">
        <v>34</v>
      </c>
      <c r="G20" s="9">
        <v>2</v>
      </c>
      <c r="H20" s="9">
        <f t="shared" si="3"/>
        <v>36</v>
      </c>
      <c r="I20" s="13" t="s">
        <v>24</v>
      </c>
      <c r="J20" s="9" t="s">
        <v>18</v>
      </c>
      <c r="K20" s="13"/>
      <c r="L20" s="22">
        <v>45478</v>
      </c>
      <c r="M20" s="19" t="str">
        <f t="shared" si="2"/>
        <v>Séance 18 (5 Juillet) : Préparer</v>
      </c>
    </row>
    <row r="21" spans="1:13" ht="33" customHeight="1" x14ac:dyDescent="0.25">
      <c r="A21" s="4">
        <f t="shared" si="4"/>
        <v>11</v>
      </c>
      <c r="B21" s="4">
        <f t="shared" si="0"/>
        <v>19</v>
      </c>
      <c r="C21" s="5" t="s">
        <v>15</v>
      </c>
      <c r="D21" s="20" t="str">
        <f t="shared" si="1"/>
        <v>10 Juillet</v>
      </c>
      <c r="E21" s="7" t="s">
        <v>30</v>
      </c>
      <c r="F21" s="8" t="s">
        <v>34</v>
      </c>
      <c r="G21" s="9">
        <v>2</v>
      </c>
      <c r="H21" s="9">
        <f t="shared" si="3"/>
        <v>38</v>
      </c>
      <c r="I21" s="13" t="s">
        <v>25</v>
      </c>
      <c r="J21" s="9" t="s">
        <v>18</v>
      </c>
      <c r="K21" s="13"/>
      <c r="L21" s="22">
        <v>45483</v>
      </c>
      <c r="M21" s="19" t="str">
        <f t="shared" si="2"/>
        <v>Séance 19 (10 Juillet) : Préparer</v>
      </c>
    </row>
    <row r="22" spans="1:13" ht="33" customHeight="1" x14ac:dyDescent="0.25">
      <c r="A22" s="4">
        <f t="shared" si="4"/>
        <v>11</v>
      </c>
      <c r="B22" s="4">
        <f t="shared" si="0"/>
        <v>20</v>
      </c>
      <c r="C22" s="5" t="s">
        <v>29</v>
      </c>
      <c r="D22" s="20" t="str">
        <f t="shared" si="1"/>
        <v>12 Juillet</v>
      </c>
      <c r="E22" s="7" t="s">
        <v>31</v>
      </c>
      <c r="F22" s="8" t="s">
        <v>34</v>
      </c>
      <c r="G22" s="9">
        <v>2</v>
      </c>
      <c r="H22" s="9">
        <f t="shared" si="3"/>
        <v>40</v>
      </c>
      <c r="I22" s="13" t="s">
        <v>25</v>
      </c>
      <c r="J22" s="9" t="s">
        <v>27</v>
      </c>
      <c r="K22" s="13"/>
      <c r="L22" s="22">
        <v>45485</v>
      </c>
      <c r="M22" s="19" t="str">
        <f t="shared" si="2"/>
        <v>Séance 20 (12 Juillet) : Préparer</v>
      </c>
    </row>
    <row r="23" spans="1:13" ht="33" customHeight="1" x14ac:dyDescent="0.25">
      <c r="A23" s="4">
        <f t="shared" si="4"/>
        <v>12</v>
      </c>
      <c r="B23" s="4">
        <f t="shared" si="0"/>
        <v>21</v>
      </c>
      <c r="C23" s="5" t="s">
        <v>15</v>
      </c>
      <c r="D23" s="20" t="str">
        <f t="shared" si="1"/>
        <v>17 Juillet</v>
      </c>
      <c r="E23" s="7" t="s">
        <v>30</v>
      </c>
      <c r="F23" s="8" t="s">
        <v>34</v>
      </c>
      <c r="G23" s="9">
        <v>2</v>
      </c>
      <c r="H23" s="9">
        <f t="shared" si="3"/>
        <v>42</v>
      </c>
      <c r="I23" s="13" t="s">
        <v>25</v>
      </c>
      <c r="J23" s="9" t="s">
        <v>18</v>
      </c>
      <c r="K23" s="13"/>
      <c r="L23" s="22">
        <v>45490</v>
      </c>
      <c r="M23" s="19" t="str">
        <f t="shared" si="2"/>
        <v>Séance 21 (17 Juillet) : Préparer</v>
      </c>
    </row>
    <row r="24" spans="1:13" ht="33" customHeight="1" x14ac:dyDescent="0.25">
      <c r="A24" s="4">
        <f t="shared" si="4"/>
        <v>12</v>
      </c>
      <c r="B24" s="4">
        <f t="shared" si="0"/>
        <v>22</v>
      </c>
      <c r="C24" s="5" t="s">
        <v>29</v>
      </c>
      <c r="D24" s="20" t="str">
        <f t="shared" si="1"/>
        <v>19 Juillet</v>
      </c>
      <c r="E24" s="7" t="s">
        <v>31</v>
      </c>
      <c r="F24" s="8" t="s">
        <v>34</v>
      </c>
      <c r="G24" s="9">
        <v>2</v>
      </c>
      <c r="H24" s="9">
        <f t="shared" si="3"/>
        <v>44</v>
      </c>
      <c r="I24" s="13" t="s">
        <v>25</v>
      </c>
      <c r="J24" s="9" t="s">
        <v>18</v>
      </c>
      <c r="K24" s="13"/>
      <c r="L24" s="22">
        <v>45492</v>
      </c>
      <c r="M24" s="19" t="str">
        <f t="shared" si="2"/>
        <v>Séance 22 (19 Juillet) : Préparer</v>
      </c>
    </row>
    <row r="25" spans="1:13" ht="33" customHeight="1" x14ac:dyDescent="0.25">
      <c r="A25" s="4">
        <f t="shared" si="4"/>
        <v>13</v>
      </c>
      <c r="B25" s="4">
        <f t="shared" si="0"/>
        <v>23</v>
      </c>
      <c r="C25" s="5" t="s">
        <v>15</v>
      </c>
      <c r="D25" s="20" t="str">
        <f t="shared" si="1"/>
        <v>24 Juillet</v>
      </c>
      <c r="E25" s="7" t="s">
        <v>30</v>
      </c>
      <c r="F25" s="8" t="s">
        <v>34</v>
      </c>
      <c r="G25" s="9">
        <v>2</v>
      </c>
      <c r="H25" s="9">
        <f t="shared" si="3"/>
        <v>46</v>
      </c>
      <c r="I25" s="13" t="s">
        <v>25</v>
      </c>
      <c r="J25" s="9" t="s">
        <v>18</v>
      </c>
      <c r="K25" s="13"/>
      <c r="L25" s="22">
        <v>45497</v>
      </c>
      <c r="M25" s="19" t="str">
        <f t="shared" si="2"/>
        <v>Séance 23 (24 Juillet) : Préparer</v>
      </c>
    </row>
    <row r="26" spans="1:13" ht="33" customHeight="1" x14ac:dyDescent="0.25">
      <c r="A26" s="4">
        <f t="shared" si="4"/>
        <v>13</v>
      </c>
      <c r="B26" s="4">
        <f t="shared" si="0"/>
        <v>24</v>
      </c>
      <c r="C26" s="5" t="s">
        <v>29</v>
      </c>
      <c r="D26" s="20" t="str">
        <f t="shared" si="1"/>
        <v>26 Juillet</v>
      </c>
      <c r="E26" s="7" t="s">
        <v>31</v>
      </c>
      <c r="F26" s="8" t="s">
        <v>34</v>
      </c>
      <c r="G26" s="9">
        <v>2</v>
      </c>
      <c r="H26" s="9">
        <f t="shared" si="3"/>
        <v>48</v>
      </c>
      <c r="I26" s="13" t="s">
        <v>26</v>
      </c>
      <c r="J26" s="9" t="s">
        <v>18</v>
      </c>
      <c r="K26" s="13"/>
      <c r="L26" s="22">
        <v>45499</v>
      </c>
      <c r="M26" s="19" t="str">
        <f t="shared" si="2"/>
        <v>Séance 24 (26 Juillet) : Préparer</v>
      </c>
    </row>
    <row r="27" spans="1:13" ht="33" customHeight="1" x14ac:dyDescent="0.25">
      <c r="A27" s="4">
        <f t="shared" si="4"/>
        <v>14</v>
      </c>
      <c r="B27" s="4">
        <f t="shared" si="0"/>
        <v>25</v>
      </c>
      <c r="C27" s="5" t="s">
        <v>15</v>
      </c>
      <c r="D27" s="20" t="str">
        <f t="shared" si="1"/>
        <v>31 Juillet</v>
      </c>
      <c r="E27" s="7" t="s">
        <v>30</v>
      </c>
      <c r="F27" s="8" t="s">
        <v>34</v>
      </c>
      <c r="G27" s="9">
        <v>2</v>
      </c>
      <c r="H27" s="9">
        <f t="shared" si="3"/>
        <v>50</v>
      </c>
      <c r="I27" s="13" t="s">
        <v>26</v>
      </c>
      <c r="J27" s="9" t="s">
        <v>18</v>
      </c>
      <c r="K27" s="13"/>
      <c r="L27" s="22">
        <v>45504</v>
      </c>
      <c r="M27" s="19" t="str">
        <f t="shared" si="2"/>
        <v>Séance 25 (31 Juillet) : Préparer</v>
      </c>
    </row>
    <row r="28" spans="1:13" ht="33" customHeight="1" x14ac:dyDescent="0.25">
      <c r="A28" s="4">
        <f t="shared" si="4"/>
        <v>14</v>
      </c>
      <c r="B28" s="4">
        <f t="shared" si="0"/>
        <v>26</v>
      </c>
      <c r="C28" s="5" t="s">
        <v>29</v>
      </c>
      <c r="D28" s="20" t="str">
        <f t="shared" si="1"/>
        <v>2 Août</v>
      </c>
      <c r="E28" s="7" t="s">
        <v>31</v>
      </c>
      <c r="F28" s="8" t="s">
        <v>34</v>
      </c>
      <c r="G28" s="9">
        <v>2</v>
      </c>
      <c r="H28" s="9">
        <f t="shared" si="3"/>
        <v>52</v>
      </c>
      <c r="I28" s="13" t="s">
        <v>26</v>
      </c>
      <c r="J28" s="9" t="s">
        <v>28</v>
      </c>
      <c r="K28" s="13"/>
      <c r="L28" s="22">
        <v>45506</v>
      </c>
      <c r="M28" s="19" t="str">
        <f t="shared" si="2"/>
        <v>Séance 26 (2 Août) : Préparer</v>
      </c>
    </row>
    <row r="29" spans="1:13" ht="33" customHeight="1" x14ac:dyDescent="0.25">
      <c r="A29" s="4">
        <f t="shared" si="4"/>
        <v>15</v>
      </c>
      <c r="B29" s="4">
        <f t="shared" si="0"/>
        <v>27</v>
      </c>
      <c r="C29" s="5" t="s">
        <v>35</v>
      </c>
      <c r="D29" s="20" t="str">
        <f t="shared" si="1"/>
        <v>8 Août</v>
      </c>
      <c r="E29" s="7" t="s">
        <v>36</v>
      </c>
      <c r="F29" s="7" t="s">
        <v>37</v>
      </c>
      <c r="G29" s="9">
        <v>3</v>
      </c>
      <c r="H29" s="9">
        <f>H28+G29</f>
        <v>55</v>
      </c>
      <c r="I29" s="9" t="s">
        <v>18</v>
      </c>
      <c r="J29" s="9" t="s">
        <v>20</v>
      </c>
      <c r="K29" s="13"/>
      <c r="L29" s="22">
        <v>45512</v>
      </c>
      <c r="M29" s="19" t="str">
        <f t="shared" si="2"/>
        <v>Séance 27 (8 Août) : Préparer</v>
      </c>
    </row>
    <row r="30" spans="1:13" ht="33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3" ht="33" customHeight="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3" ht="33" customHeight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3:12" ht="33" customHeight="1" x14ac:dyDescent="0.25">
      <c r="C33" s="11"/>
      <c r="D33" s="11"/>
      <c r="E33" s="11"/>
      <c r="F33" s="11"/>
      <c r="L33" s="11"/>
    </row>
    <row r="34" spans="3:12" ht="33" customHeight="1" x14ac:dyDescent="0.25">
      <c r="C34" s="11"/>
      <c r="D34" s="11"/>
      <c r="E34" s="11"/>
      <c r="F34" s="11"/>
      <c r="L34" s="11"/>
    </row>
    <row r="35" spans="3:12" ht="33" customHeight="1" x14ac:dyDescent="0.25">
      <c r="C35" s="11"/>
      <c r="D35" s="11"/>
      <c r="E35" s="11"/>
      <c r="F35" s="11"/>
      <c r="L35" s="11"/>
    </row>
    <row r="36" spans="3:12" ht="33" customHeight="1" x14ac:dyDescent="0.25">
      <c r="C36" s="11"/>
      <c r="D36" s="11"/>
      <c r="E36" s="11"/>
      <c r="F36" s="11"/>
      <c r="L36" s="11"/>
    </row>
    <row r="37" spans="3:12" ht="33" customHeight="1" x14ac:dyDescent="0.25">
      <c r="C37" s="11"/>
      <c r="D37" s="11"/>
      <c r="E37" s="11"/>
      <c r="F37" s="11"/>
      <c r="L37" s="11"/>
    </row>
    <row r="38" spans="3:12" ht="33" customHeight="1" x14ac:dyDescent="0.25">
      <c r="C38" s="11"/>
      <c r="D38" s="11"/>
      <c r="E38" s="11"/>
      <c r="F38" s="11"/>
      <c r="L38" s="11"/>
    </row>
    <row r="39" spans="3:12" ht="33" customHeight="1" x14ac:dyDescent="0.25">
      <c r="C39" s="11"/>
      <c r="D39" s="11"/>
      <c r="E39" s="11"/>
      <c r="F39" s="11"/>
      <c r="L39" s="11"/>
    </row>
    <row r="40" spans="3:12" ht="33" customHeight="1" x14ac:dyDescent="0.25">
      <c r="C40" s="11"/>
      <c r="D40" s="11"/>
      <c r="E40" s="11"/>
      <c r="F40" s="11"/>
      <c r="L40" s="11"/>
    </row>
    <row r="41" spans="3:12" ht="33" customHeight="1" x14ac:dyDescent="0.25">
      <c r="C41" s="11"/>
      <c r="D41" s="11"/>
      <c r="E41" s="11"/>
      <c r="F41" s="11"/>
      <c r="L41" s="11"/>
    </row>
    <row r="42" spans="3:12" ht="33" customHeight="1" x14ac:dyDescent="0.25">
      <c r="C42" s="11"/>
      <c r="D42" s="11"/>
      <c r="E42" s="11"/>
      <c r="F42" s="11"/>
      <c r="L42" s="11"/>
    </row>
    <row r="43" spans="3:12" ht="33" customHeight="1" x14ac:dyDescent="0.25">
      <c r="C43" s="11"/>
      <c r="D43" s="11"/>
      <c r="E43" s="11"/>
      <c r="F43" s="11"/>
      <c r="L43" s="11"/>
    </row>
    <row r="44" spans="3:12" ht="33" customHeight="1" x14ac:dyDescent="0.25">
      <c r="C44" s="11"/>
      <c r="D44" s="11"/>
      <c r="E44" s="11"/>
      <c r="F44" s="11"/>
      <c r="L44" s="11"/>
    </row>
    <row r="45" spans="3:12" ht="33" customHeight="1" x14ac:dyDescent="0.25">
      <c r="C45" s="11"/>
      <c r="D45" s="11"/>
      <c r="E45" s="11"/>
      <c r="F45" s="11"/>
      <c r="L45" s="11"/>
    </row>
    <row r="46" spans="3:12" ht="33" customHeight="1" x14ac:dyDescent="0.25">
      <c r="C46" s="11"/>
      <c r="D46" s="11"/>
      <c r="E46" s="11"/>
      <c r="F46" s="11"/>
      <c r="L46" s="11"/>
    </row>
    <row r="47" spans="3:12" ht="33" customHeight="1" x14ac:dyDescent="0.25">
      <c r="C47" s="11"/>
      <c r="D47" s="11"/>
      <c r="E47" s="11"/>
      <c r="F47" s="11"/>
      <c r="L47" s="11"/>
    </row>
    <row r="48" spans="3:12" ht="33" customHeight="1" x14ac:dyDescent="0.25">
      <c r="C48" s="11"/>
      <c r="D48" s="11"/>
      <c r="E48" s="11"/>
      <c r="F48" s="11"/>
      <c r="L48" s="11"/>
    </row>
    <row r="49" spans="3:12" ht="33" customHeight="1" x14ac:dyDescent="0.25">
      <c r="C49" s="11"/>
      <c r="D49" s="11"/>
      <c r="E49" s="11"/>
      <c r="F49" s="11"/>
      <c r="L49" s="11"/>
    </row>
    <row r="50" spans="3:12" ht="33" customHeight="1" x14ac:dyDescent="0.25">
      <c r="C50" s="11"/>
      <c r="D50" s="11"/>
      <c r="E50" s="11"/>
      <c r="F50" s="11"/>
      <c r="L50" s="11"/>
    </row>
    <row r="51" spans="3:12" ht="33" customHeight="1" x14ac:dyDescent="0.25">
      <c r="C51" s="11"/>
      <c r="D51" s="11"/>
      <c r="E51" s="11"/>
      <c r="F51" s="11"/>
      <c r="L51" s="11"/>
    </row>
    <row r="52" spans="3:12" ht="33" customHeight="1" x14ac:dyDescent="0.25">
      <c r="C52" s="11"/>
      <c r="D52" s="11"/>
      <c r="E52" s="11"/>
      <c r="F52" s="11"/>
      <c r="L52" s="11"/>
    </row>
    <row r="53" spans="3:12" ht="33" customHeight="1" x14ac:dyDescent="0.25">
      <c r="C53" s="11"/>
      <c r="D53" s="11"/>
      <c r="E53" s="11"/>
      <c r="F53" s="11"/>
      <c r="L53" s="11"/>
    </row>
    <row r="54" spans="3:12" ht="33" customHeight="1" x14ac:dyDescent="0.25">
      <c r="C54" s="11"/>
      <c r="D54" s="11"/>
      <c r="E54" s="11"/>
      <c r="F54" s="11"/>
      <c r="L54" s="11"/>
    </row>
    <row r="55" spans="3:12" ht="33" customHeight="1" x14ac:dyDescent="0.25">
      <c r="C55" s="11"/>
      <c r="D55" s="11"/>
      <c r="E55" s="11"/>
      <c r="F55" s="11"/>
      <c r="L55" s="11"/>
    </row>
    <row r="56" spans="3:12" ht="33" customHeight="1" x14ac:dyDescent="0.25">
      <c r="C56" s="11"/>
      <c r="D56" s="11"/>
      <c r="E56" s="11"/>
      <c r="F56" s="11"/>
      <c r="L56" s="11"/>
    </row>
    <row r="57" spans="3:12" ht="33" customHeight="1" x14ac:dyDescent="0.25">
      <c r="C57" s="11"/>
      <c r="D57" s="11"/>
      <c r="E57" s="11"/>
      <c r="F57" s="11"/>
      <c r="L57" s="11"/>
    </row>
    <row r="58" spans="3:12" ht="33" customHeight="1" x14ac:dyDescent="0.25">
      <c r="C58" s="11"/>
      <c r="D58" s="11"/>
      <c r="E58" s="11"/>
      <c r="F58" s="11"/>
      <c r="L58" s="11"/>
    </row>
    <row r="59" spans="3:12" ht="33" customHeight="1" x14ac:dyDescent="0.25">
      <c r="C59" s="11"/>
      <c r="D59" s="11"/>
      <c r="E59" s="11"/>
      <c r="F59" s="11"/>
      <c r="L59" s="11"/>
    </row>
    <row r="60" spans="3:12" ht="33" customHeight="1" x14ac:dyDescent="0.25">
      <c r="C60" s="11"/>
      <c r="D60" s="11"/>
      <c r="E60" s="11"/>
      <c r="F60" s="11"/>
      <c r="L60" s="11"/>
    </row>
    <row r="61" spans="3:12" ht="33" customHeight="1" x14ac:dyDescent="0.25">
      <c r="C61" s="11"/>
      <c r="D61" s="11"/>
      <c r="E61" s="11"/>
      <c r="F61" s="11"/>
      <c r="L61" s="11"/>
    </row>
    <row r="62" spans="3:12" ht="33" customHeight="1" x14ac:dyDescent="0.25">
      <c r="C62" s="11"/>
      <c r="D62" s="11"/>
      <c r="E62" s="11"/>
      <c r="F62" s="11"/>
      <c r="L62" s="11"/>
    </row>
    <row r="63" spans="3:12" ht="33" customHeight="1" x14ac:dyDescent="0.25">
      <c r="C63" s="11"/>
      <c r="D63" s="11"/>
      <c r="E63" s="11"/>
      <c r="F63" s="11"/>
      <c r="L63" s="11"/>
    </row>
    <row r="64" spans="3:12" ht="33" customHeight="1" x14ac:dyDescent="0.25">
      <c r="C64" s="11"/>
      <c r="D64" s="11"/>
      <c r="E64" s="11"/>
      <c r="F64" s="11"/>
      <c r="L64" s="11"/>
    </row>
    <row r="65" spans="3:12" ht="33" customHeight="1" x14ac:dyDescent="0.25">
      <c r="C65" s="11"/>
      <c r="D65" s="11"/>
      <c r="E65" s="11"/>
      <c r="F65" s="11"/>
      <c r="L65" s="11"/>
    </row>
    <row r="66" spans="3:12" ht="33" customHeight="1" x14ac:dyDescent="0.25">
      <c r="C66" s="11"/>
      <c r="D66" s="11"/>
      <c r="E66" s="11"/>
      <c r="F66" s="11"/>
      <c r="L66" s="11"/>
    </row>
    <row r="67" spans="3:12" ht="33" customHeight="1" x14ac:dyDescent="0.25">
      <c r="C67" s="11"/>
      <c r="D67" s="11"/>
      <c r="E67" s="11"/>
      <c r="F67" s="11"/>
      <c r="L67" s="1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="130" zoomScaleNormal="130" workbookViewId="0">
      <pane ySplit="1" topLeftCell="A2" activePane="bottomLeft" state="frozen"/>
      <selection pane="bottomLeft" activeCell="D2" sqref="D2"/>
    </sheetView>
  </sheetViews>
  <sheetFormatPr baseColWidth="10" defaultColWidth="11.5546875" defaultRowHeight="33" customHeight="1" x14ac:dyDescent="0.25"/>
  <cols>
    <col min="1" max="1" width="8.21875" style="3" bestFit="1" customWidth="1"/>
    <col min="2" max="2" width="6.6640625" style="10" bestFit="1" customWidth="1"/>
    <col min="3" max="3" width="7.109375" style="10" bestFit="1" customWidth="1"/>
    <col min="4" max="4" width="8.6640625" style="10" bestFit="1" customWidth="1"/>
    <col min="5" max="5" width="5.88671875" style="10" bestFit="1" customWidth="1"/>
    <col min="6" max="6" width="6.88671875" style="10" bestFit="1" customWidth="1"/>
    <col min="7" max="7" width="9" style="10" bestFit="1" customWidth="1"/>
    <col min="8" max="8" width="8.44140625" style="10" bestFit="1" customWidth="1"/>
    <col min="9" max="9" width="8" style="10" bestFit="1" customWidth="1"/>
    <col min="10" max="10" width="10.77734375" style="10" bestFit="1" customWidth="1"/>
    <col min="11" max="11" width="14.21875" style="12" bestFit="1" customWidth="1"/>
    <col min="12" max="12" width="9.33203125" style="10" bestFit="1" customWidth="1"/>
    <col min="13" max="13" width="16.6640625" style="3" bestFit="1" customWidth="1"/>
    <col min="14" max="16384" width="11.5546875" style="3"/>
  </cols>
  <sheetData>
    <row r="1" spans="1:13" ht="33" customHeight="1" x14ac:dyDescent="0.25">
      <c r="A1" s="1" t="s">
        <v>12</v>
      </c>
      <c r="B1" s="1" t="s">
        <v>0</v>
      </c>
      <c r="C1" s="1" t="s">
        <v>5</v>
      </c>
      <c r="D1" s="1" t="s">
        <v>5</v>
      </c>
      <c r="E1" s="1" t="s">
        <v>7</v>
      </c>
      <c r="F1" s="1" t="s">
        <v>6</v>
      </c>
      <c r="G1" s="1" t="s">
        <v>2</v>
      </c>
      <c r="H1" s="1" t="s">
        <v>3</v>
      </c>
      <c r="I1" s="1" t="s">
        <v>8</v>
      </c>
      <c r="J1" s="2" t="s">
        <v>14</v>
      </c>
      <c r="K1" s="1" t="s">
        <v>4</v>
      </c>
      <c r="L1" s="1" t="s">
        <v>1</v>
      </c>
    </row>
    <row r="2" spans="1:13" ht="33" customHeight="1" x14ac:dyDescent="0.25">
      <c r="A2" s="4">
        <v>1</v>
      </c>
      <c r="B2" s="4">
        <v>1</v>
      </c>
      <c r="C2" s="5" t="s">
        <v>9</v>
      </c>
      <c r="D2" s="6" t="str">
        <f>DAY(L2)&amp;" "&amp;CHOOSE(MONTH(L2),"Janvier","Février","mars","avril","mai","juin","Juillet","Août","Septembre","Octobre","Novembre","Décembre")</f>
        <v>4 mai</v>
      </c>
      <c r="E2" s="7" t="s">
        <v>11</v>
      </c>
      <c r="F2" s="8"/>
      <c r="G2" s="9">
        <v>2</v>
      </c>
      <c r="H2" s="9">
        <f>G2</f>
        <v>2</v>
      </c>
      <c r="I2" s="13"/>
      <c r="J2" s="9" t="s">
        <v>18</v>
      </c>
      <c r="K2" s="13"/>
      <c r="L2" s="7">
        <v>44320</v>
      </c>
      <c r="M2" s="19" t="str">
        <f>B$1&amp;" "&amp;B2&amp;" ("&amp;D2&amp;") : Préparer"</f>
        <v>Séance 1 (4 mai) : Préparer</v>
      </c>
    </row>
    <row r="3" spans="1:13" ht="33" customHeight="1" x14ac:dyDescent="0.25">
      <c r="A3" s="4">
        <v>1</v>
      </c>
      <c r="B3" s="4">
        <f t="shared" ref="B3:B33" si="0">B2+1</f>
        <v>2</v>
      </c>
      <c r="C3" s="5" t="s">
        <v>15</v>
      </c>
      <c r="D3" s="6" t="str">
        <f t="shared" ref="D3" si="1">DAY(L3)&amp;" "&amp;CHOOSE(MONTH(L3),"Janvier","Février","mars","avril","mai","juin","Juillet","Août","Septembre","Octobre","Novembre","Décembre")</f>
        <v>5 mai</v>
      </c>
      <c r="E3" s="7" t="s">
        <v>10</v>
      </c>
      <c r="F3" s="8"/>
      <c r="G3" s="9">
        <v>2</v>
      </c>
      <c r="H3" s="9">
        <f>H2+G3</f>
        <v>4</v>
      </c>
      <c r="I3" s="13" t="s">
        <v>22</v>
      </c>
      <c r="J3" s="9" t="s">
        <v>18</v>
      </c>
      <c r="K3" s="13"/>
      <c r="L3" s="7">
        <f>L2+1</f>
        <v>44321</v>
      </c>
      <c r="M3" s="19" t="str">
        <f t="shared" ref="M3:M33" si="2">B$1&amp;" "&amp;B3&amp;" ("&amp;D3&amp;") : Préparer"</f>
        <v>Séance 2 (5 mai) : Préparer</v>
      </c>
    </row>
    <row r="4" spans="1:13" ht="33" customHeight="1" x14ac:dyDescent="0.25">
      <c r="A4" s="4">
        <f>A2+1</f>
        <v>2</v>
      </c>
      <c r="B4" s="4">
        <f t="shared" si="0"/>
        <v>3</v>
      </c>
      <c r="C4" s="5" t="str">
        <f>C2</f>
        <v>Mardi</v>
      </c>
      <c r="D4" s="6" t="str">
        <f t="shared" ref="D4:D13" si="3">DAY(L4)&amp;" "&amp;CHOOSE(MONTH(L4),"Janvier","Février","mars","avril","mai","juin","Juillet","Août","Septembre","Octobre","Novembre","Décembre")</f>
        <v>11 mai</v>
      </c>
      <c r="E4" s="7" t="str">
        <f>E2</f>
        <v>10 h 30</v>
      </c>
      <c r="F4" s="8"/>
      <c r="G4" s="9">
        <v>2</v>
      </c>
      <c r="H4" s="9">
        <f t="shared" ref="H4:H31" si="4">H3+G4</f>
        <v>6</v>
      </c>
      <c r="I4" s="13" t="s">
        <v>22</v>
      </c>
      <c r="J4" s="9" t="s">
        <v>18</v>
      </c>
      <c r="K4" s="13"/>
      <c r="L4" s="7">
        <f>L2+7</f>
        <v>44327</v>
      </c>
      <c r="M4" s="19" t="str">
        <f t="shared" si="2"/>
        <v>Séance 3 (11 mai) : Préparer</v>
      </c>
    </row>
    <row r="5" spans="1:13" ht="33" customHeight="1" x14ac:dyDescent="0.25">
      <c r="A5" s="4">
        <f t="shared" ref="A5:A33" si="5">A3+1</f>
        <v>2</v>
      </c>
      <c r="B5" s="4">
        <f t="shared" si="0"/>
        <v>4</v>
      </c>
      <c r="C5" s="5" t="str">
        <f t="shared" ref="C5:C33" si="6">C3</f>
        <v>Mercredi</v>
      </c>
      <c r="D5" s="6" t="str">
        <f t="shared" si="3"/>
        <v>12 mai</v>
      </c>
      <c r="E5" s="7" t="str">
        <f t="shared" ref="E5:E33" si="7">E3</f>
        <v>13 h 30</v>
      </c>
      <c r="F5" s="8"/>
      <c r="G5" s="9">
        <v>2</v>
      </c>
      <c r="H5" s="9">
        <f t="shared" si="4"/>
        <v>8</v>
      </c>
      <c r="I5" s="13" t="s">
        <v>22</v>
      </c>
      <c r="J5" s="9" t="s">
        <v>16</v>
      </c>
      <c r="K5" s="13"/>
      <c r="L5" s="7">
        <f>L3+7</f>
        <v>44328</v>
      </c>
      <c r="M5" s="19" t="str">
        <f t="shared" si="2"/>
        <v>Séance 4 (12 mai) : Préparer</v>
      </c>
    </row>
    <row r="6" spans="1:13" ht="33" customHeight="1" x14ac:dyDescent="0.25">
      <c r="A6" s="4">
        <f t="shared" si="5"/>
        <v>3</v>
      </c>
      <c r="B6" s="4">
        <f t="shared" si="0"/>
        <v>5</v>
      </c>
      <c r="C6" s="5" t="str">
        <f t="shared" si="6"/>
        <v>Mardi</v>
      </c>
      <c r="D6" s="6" t="str">
        <f t="shared" si="3"/>
        <v>18 mai</v>
      </c>
      <c r="E6" s="7" t="str">
        <f t="shared" si="7"/>
        <v>10 h 30</v>
      </c>
      <c r="F6" s="8"/>
      <c r="G6" s="9">
        <v>2</v>
      </c>
      <c r="H6" s="9">
        <f t="shared" si="4"/>
        <v>10</v>
      </c>
      <c r="I6" s="13" t="s">
        <v>23</v>
      </c>
      <c r="J6" s="9" t="s">
        <v>18</v>
      </c>
      <c r="K6" s="13"/>
      <c r="L6" s="7">
        <f t="shared" ref="L6:L33" si="8">L4+7</f>
        <v>44334</v>
      </c>
      <c r="M6" s="19" t="str">
        <f t="shared" si="2"/>
        <v>Séance 5 (18 mai) : Préparer</v>
      </c>
    </row>
    <row r="7" spans="1:13" ht="33" customHeight="1" x14ac:dyDescent="0.25">
      <c r="A7" s="4">
        <f t="shared" si="5"/>
        <v>3</v>
      </c>
      <c r="B7" s="4">
        <f t="shared" si="0"/>
        <v>6</v>
      </c>
      <c r="C7" s="5" t="str">
        <f t="shared" si="6"/>
        <v>Mercredi</v>
      </c>
      <c r="D7" s="6" t="str">
        <f t="shared" si="3"/>
        <v>19 mai</v>
      </c>
      <c r="E7" s="7" t="str">
        <f t="shared" si="7"/>
        <v>13 h 30</v>
      </c>
      <c r="F7" s="8"/>
      <c r="G7" s="9">
        <v>2</v>
      </c>
      <c r="H7" s="9">
        <f t="shared" si="4"/>
        <v>12</v>
      </c>
      <c r="I7" s="13" t="s">
        <v>23</v>
      </c>
      <c r="J7" s="9" t="s">
        <v>18</v>
      </c>
      <c r="K7" s="13"/>
      <c r="L7" s="7">
        <f t="shared" si="8"/>
        <v>44335</v>
      </c>
      <c r="M7" s="19" t="str">
        <f t="shared" si="2"/>
        <v>Séance 6 (19 mai) : Préparer</v>
      </c>
    </row>
    <row r="8" spans="1:13" ht="33" customHeight="1" x14ac:dyDescent="0.25">
      <c r="A8" s="4">
        <f t="shared" si="5"/>
        <v>4</v>
      </c>
      <c r="B8" s="4">
        <f t="shared" si="0"/>
        <v>7</v>
      </c>
      <c r="C8" s="5" t="str">
        <f t="shared" si="6"/>
        <v>Mardi</v>
      </c>
      <c r="D8" s="6" t="str">
        <f t="shared" ref="D8" si="9">DAY(L8)&amp;" "&amp;CHOOSE(MONTH(L8),"Janvier","Février","mars","avril","mai","juin","Juillet","Août","Septembre","Octobre","Novembre","Décembre")</f>
        <v>25 mai</v>
      </c>
      <c r="E8" s="7" t="str">
        <f t="shared" si="7"/>
        <v>10 h 30</v>
      </c>
      <c r="F8" s="8"/>
      <c r="G8" s="9">
        <v>2</v>
      </c>
      <c r="H8" s="9">
        <f t="shared" si="4"/>
        <v>14</v>
      </c>
      <c r="I8" s="13" t="s">
        <v>23</v>
      </c>
      <c r="J8" s="9" t="s">
        <v>18</v>
      </c>
      <c r="K8" s="13"/>
      <c r="L8" s="7">
        <f t="shared" si="8"/>
        <v>44341</v>
      </c>
      <c r="M8" s="19" t="str">
        <f t="shared" si="2"/>
        <v>Séance 7 (25 mai) : Préparer</v>
      </c>
    </row>
    <row r="9" spans="1:13" ht="33" customHeight="1" x14ac:dyDescent="0.25">
      <c r="A9" s="4">
        <f t="shared" si="5"/>
        <v>4</v>
      </c>
      <c r="B9" s="4">
        <f t="shared" si="0"/>
        <v>8</v>
      </c>
      <c r="C9" s="5" t="str">
        <f t="shared" si="6"/>
        <v>Mercredi</v>
      </c>
      <c r="D9" s="6" t="str">
        <f t="shared" si="3"/>
        <v>26 mai</v>
      </c>
      <c r="E9" s="7" t="str">
        <f t="shared" si="7"/>
        <v>13 h 30</v>
      </c>
      <c r="F9" s="8"/>
      <c r="G9" s="9">
        <v>2</v>
      </c>
      <c r="H9" s="9">
        <f t="shared" si="4"/>
        <v>16</v>
      </c>
      <c r="I9" s="13" t="s">
        <v>23</v>
      </c>
      <c r="J9" s="9" t="s">
        <v>21</v>
      </c>
      <c r="K9" s="13"/>
      <c r="L9" s="7">
        <f t="shared" si="8"/>
        <v>44342</v>
      </c>
      <c r="M9" s="19" t="str">
        <f t="shared" si="2"/>
        <v>Séance 8 (26 mai) : Préparer</v>
      </c>
    </row>
    <row r="10" spans="1:13" ht="33" customHeight="1" x14ac:dyDescent="0.25">
      <c r="A10" s="4">
        <f t="shared" si="5"/>
        <v>5</v>
      </c>
      <c r="B10" s="4">
        <f t="shared" si="0"/>
        <v>9</v>
      </c>
      <c r="C10" s="5" t="str">
        <f t="shared" si="6"/>
        <v>Mardi</v>
      </c>
      <c r="D10" s="6" t="str">
        <f t="shared" si="3"/>
        <v>1 juin</v>
      </c>
      <c r="E10" s="7" t="str">
        <f t="shared" si="7"/>
        <v>10 h 30</v>
      </c>
      <c r="F10" s="8"/>
      <c r="G10" s="9">
        <v>2</v>
      </c>
      <c r="H10" s="9">
        <f t="shared" si="4"/>
        <v>18</v>
      </c>
      <c r="I10" s="13" t="s">
        <v>23</v>
      </c>
      <c r="J10" s="9" t="s">
        <v>18</v>
      </c>
      <c r="K10" s="13"/>
      <c r="L10" s="7">
        <f t="shared" si="8"/>
        <v>44348</v>
      </c>
      <c r="M10" s="19" t="str">
        <f t="shared" si="2"/>
        <v>Séance 9 (1 juin) : Préparer</v>
      </c>
    </row>
    <row r="11" spans="1:13" ht="33" customHeight="1" x14ac:dyDescent="0.25">
      <c r="A11" s="4">
        <f t="shared" si="5"/>
        <v>5</v>
      </c>
      <c r="B11" s="4">
        <f t="shared" si="0"/>
        <v>10</v>
      </c>
      <c r="C11" s="5" t="str">
        <f t="shared" si="6"/>
        <v>Mercredi</v>
      </c>
      <c r="D11" s="6" t="str">
        <f t="shared" si="3"/>
        <v>2 juin</v>
      </c>
      <c r="E11" s="7" t="str">
        <f t="shared" si="7"/>
        <v>13 h 30</v>
      </c>
      <c r="F11" s="8"/>
      <c r="G11" s="9">
        <v>2</v>
      </c>
      <c r="H11" s="9">
        <f t="shared" si="4"/>
        <v>20</v>
      </c>
      <c r="I11" s="13" t="s">
        <v>23</v>
      </c>
      <c r="J11" s="9" t="s">
        <v>18</v>
      </c>
      <c r="K11" s="13"/>
      <c r="L11" s="7">
        <f t="shared" si="8"/>
        <v>44349</v>
      </c>
      <c r="M11" s="19" t="str">
        <f t="shared" si="2"/>
        <v>Séance 10 (2 juin) : Préparer</v>
      </c>
    </row>
    <row r="12" spans="1:13" ht="33" customHeight="1" x14ac:dyDescent="0.25">
      <c r="A12" s="4">
        <f t="shared" si="5"/>
        <v>6</v>
      </c>
      <c r="B12" s="4">
        <f t="shared" si="0"/>
        <v>11</v>
      </c>
      <c r="C12" s="5" t="str">
        <f t="shared" si="6"/>
        <v>Mardi</v>
      </c>
      <c r="D12" s="6" t="str">
        <f t="shared" si="3"/>
        <v>8 juin</v>
      </c>
      <c r="E12" s="7" t="str">
        <f t="shared" si="7"/>
        <v>10 h 30</v>
      </c>
      <c r="F12" s="8"/>
      <c r="G12" s="9">
        <v>2</v>
      </c>
      <c r="H12" s="9">
        <f t="shared" si="4"/>
        <v>22</v>
      </c>
      <c r="I12" s="13" t="s">
        <v>23</v>
      </c>
      <c r="J12" s="9" t="s">
        <v>18</v>
      </c>
      <c r="K12" s="13"/>
      <c r="L12" s="7">
        <f t="shared" si="8"/>
        <v>44355</v>
      </c>
      <c r="M12" s="19" t="str">
        <f t="shared" si="2"/>
        <v>Séance 11 (8 juin) : Préparer</v>
      </c>
    </row>
    <row r="13" spans="1:13" ht="33" customHeight="1" x14ac:dyDescent="0.25">
      <c r="A13" s="4">
        <f t="shared" si="5"/>
        <v>6</v>
      </c>
      <c r="B13" s="4">
        <f t="shared" si="0"/>
        <v>12</v>
      </c>
      <c r="C13" s="5" t="str">
        <f t="shared" si="6"/>
        <v>Mercredi</v>
      </c>
      <c r="D13" s="6" t="str">
        <f t="shared" si="3"/>
        <v>9 juin</v>
      </c>
      <c r="E13" s="7" t="str">
        <f t="shared" si="7"/>
        <v>13 h 30</v>
      </c>
      <c r="F13" s="8"/>
      <c r="G13" s="9">
        <v>2</v>
      </c>
      <c r="H13" s="9">
        <f t="shared" si="4"/>
        <v>24</v>
      </c>
      <c r="I13" s="13" t="s">
        <v>23</v>
      </c>
      <c r="J13" s="9" t="s">
        <v>18</v>
      </c>
      <c r="K13" s="13"/>
      <c r="L13" s="7">
        <f t="shared" si="8"/>
        <v>44356</v>
      </c>
      <c r="M13" s="19" t="str">
        <f t="shared" si="2"/>
        <v>Séance 12 (9 juin) : Préparer</v>
      </c>
    </row>
    <row r="14" spans="1:13" ht="33" customHeight="1" x14ac:dyDescent="0.25">
      <c r="A14" s="4">
        <f t="shared" si="5"/>
        <v>7</v>
      </c>
      <c r="B14" s="4">
        <f t="shared" si="0"/>
        <v>13</v>
      </c>
      <c r="C14" s="5" t="str">
        <f t="shared" si="6"/>
        <v>Mardi</v>
      </c>
      <c r="D14" s="6" t="str">
        <f t="shared" ref="D14:D19" si="10">DAY(L14)&amp;" "&amp;CHOOSE(MONTH(L14),"Janvier","Février","mars","avril","mai","juin","Juillet","Août","Septembre","Octobre","Novembre","Décembre")</f>
        <v>15 juin</v>
      </c>
      <c r="E14" s="7" t="str">
        <f t="shared" si="7"/>
        <v>10 h 30</v>
      </c>
      <c r="F14" s="8"/>
      <c r="G14" s="9">
        <v>2</v>
      </c>
      <c r="H14" s="9">
        <f t="shared" si="4"/>
        <v>26</v>
      </c>
      <c r="I14" s="13" t="s">
        <v>24</v>
      </c>
      <c r="J14" s="9" t="s">
        <v>18</v>
      </c>
      <c r="K14" s="13"/>
      <c r="L14" s="7">
        <f t="shared" si="8"/>
        <v>44362</v>
      </c>
      <c r="M14" s="19" t="str">
        <f t="shared" si="2"/>
        <v>Séance 13 (15 juin) : Préparer</v>
      </c>
    </row>
    <row r="15" spans="1:13" ht="33" customHeight="1" x14ac:dyDescent="0.25">
      <c r="A15" s="4">
        <f t="shared" si="5"/>
        <v>7</v>
      </c>
      <c r="B15" s="4">
        <f t="shared" si="0"/>
        <v>14</v>
      </c>
      <c r="C15" s="5" t="str">
        <f t="shared" si="6"/>
        <v>Mercredi</v>
      </c>
      <c r="D15" s="6" t="str">
        <f t="shared" si="10"/>
        <v>16 juin</v>
      </c>
      <c r="E15" s="7" t="str">
        <f t="shared" si="7"/>
        <v>13 h 30</v>
      </c>
      <c r="F15" s="8"/>
      <c r="G15" s="9">
        <v>2</v>
      </c>
      <c r="H15" s="9">
        <f t="shared" si="4"/>
        <v>28</v>
      </c>
      <c r="I15" s="13" t="s">
        <v>24</v>
      </c>
      <c r="J15" s="9" t="s">
        <v>17</v>
      </c>
      <c r="K15" s="13"/>
      <c r="L15" s="7">
        <f t="shared" si="8"/>
        <v>44363</v>
      </c>
      <c r="M15" s="19" t="str">
        <f t="shared" si="2"/>
        <v>Séance 14 (16 juin) : Préparer</v>
      </c>
    </row>
    <row r="16" spans="1:13" ht="33" customHeight="1" x14ac:dyDescent="0.25">
      <c r="A16" s="4">
        <f t="shared" si="5"/>
        <v>8</v>
      </c>
      <c r="B16" s="4">
        <f t="shared" si="0"/>
        <v>15</v>
      </c>
      <c r="C16" s="5" t="str">
        <f t="shared" si="6"/>
        <v>Mardi</v>
      </c>
      <c r="D16" s="6" t="str">
        <f t="shared" si="10"/>
        <v>22 juin</v>
      </c>
      <c r="E16" s="7" t="str">
        <f t="shared" si="7"/>
        <v>10 h 30</v>
      </c>
      <c r="F16" s="8"/>
      <c r="G16" s="9">
        <v>2</v>
      </c>
      <c r="H16" s="9">
        <f t="shared" si="4"/>
        <v>30</v>
      </c>
      <c r="I16" s="9" t="s">
        <v>18</v>
      </c>
      <c r="J16" s="9" t="s">
        <v>19</v>
      </c>
      <c r="K16" s="13"/>
      <c r="L16" s="7">
        <f t="shared" si="8"/>
        <v>44369</v>
      </c>
      <c r="M16" s="19" t="str">
        <f t="shared" si="2"/>
        <v>Séance 15 (22 juin) : Préparer</v>
      </c>
    </row>
    <row r="17" spans="1:13" ht="33" customHeight="1" x14ac:dyDescent="0.25">
      <c r="A17" s="4">
        <f t="shared" si="5"/>
        <v>8</v>
      </c>
      <c r="B17" s="4">
        <f t="shared" si="0"/>
        <v>16</v>
      </c>
      <c r="C17" s="5" t="str">
        <f t="shared" si="6"/>
        <v>Mercredi</v>
      </c>
      <c r="D17" s="6" t="str">
        <f t="shared" si="10"/>
        <v>23 juin</v>
      </c>
      <c r="E17" s="7" t="str">
        <f t="shared" si="7"/>
        <v>13 h 30</v>
      </c>
      <c r="F17" s="8"/>
      <c r="G17" s="9">
        <v>2</v>
      </c>
      <c r="H17" s="9">
        <f t="shared" si="4"/>
        <v>32</v>
      </c>
      <c r="I17" s="9" t="s">
        <v>18</v>
      </c>
      <c r="J17" s="9" t="s">
        <v>19</v>
      </c>
      <c r="K17" s="13"/>
      <c r="L17" s="7">
        <f t="shared" si="8"/>
        <v>44370</v>
      </c>
      <c r="M17" s="19" t="str">
        <f t="shared" si="2"/>
        <v>Séance 16 (23 juin) : Préparer</v>
      </c>
    </row>
    <row r="18" spans="1:13" ht="33" customHeight="1" x14ac:dyDescent="0.25">
      <c r="A18" s="4">
        <f t="shared" si="5"/>
        <v>9</v>
      </c>
      <c r="B18" s="4">
        <f t="shared" si="0"/>
        <v>17</v>
      </c>
      <c r="C18" s="5" t="str">
        <f t="shared" si="6"/>
        <v>Mardi</v>
      </c>
      <c r="D18" s="6" t="str">
        <f t="shared" si="10"/>
        <v>29 juin</v>
      </c>
      <c r="E18" s="7" t="str">
        <f t="shared" si="7"/>
        <v>10 h 30</v>
      </c>
      <c r="F18" s="8"/>
      <c r="G18" s="9">
        <v>2</v>
      </c>
      <c r="H18" s="9">
        <f t="shared" si="4"/>
        <v>34</v>
      </c>
      <c r="I18" s="13" t="s">
        <v>24</v>
      </c>
      <c r="J18" s="9" t="s">
        <v>18</v>
      </c>
      <c r="K18" s="13"/>
      <c r="L18" s="7">
        <f t="shared" si="8"/>
        <v>44376</v>
      </c>
      <c r="M18" s="19" t="str">
        <f t="shared" si="2"/>
        <v>Séance 17 (29 juin) : Préparer</v>
      </c>
    </row>
    <row r="19" spans="1:13" ht="33" customHeight="1" x14ac:dyDescent="0.25">
      <c r="A19" s="4">
        <f t="shared" si="5"/>
        <v>9</v>
      </c>
      <c r="B19" s="4">
        <f t="shared" si="0"/>
        <v>18</v>
      </c>
      <c r="C19" s="5" t="str">
        <f t="shared" si="6"/>
        <v>Mercredi</v>
      </c>
      <c r="D19" s="6" t="str">
        <f t="shared" si="10"/>
        <v>30 juin</v>
      </c>
      <c r="E19" s="7" t="str">
        <f t="shared" si="7"/>
        <v>13 h 30</v>
      </c>
      <c r="F19" s="8"/>
      <c r="G19" s="9">
        <v>2</v>
      </c>
      <c r="H19" s="9">
        <f t="shared" si="4"/>
        <v>36</v>
      </c>
      <c r="I19" s="13" t="s">
        <v>24</v>
      </c>
      <c r="J19" s="9" t="s">
        <v>18</v>
      </c>
      <c r="K19" s="13"/>
      <c r="L19" s="7">
        <f t="shared" si="8"/>
        <v>44377</v>
      </c>
      <c r="M19" s="19" t="str">
        <f t="shared" si="2"/>
        <v>Séance 18 (30 juin) : Préparer</v>
      </c>
    </row>
    <row r="20" spans="1:13" ht="33" customHeight="1" x14ac:dyDescent="0.25">
      <c r="A20" s="4">
        <f t="shared" si="5"/>
        <v>10</v>
      </c>
      <c r="B20" s="4">
        <f t="shared" si="0"/>
        <v>19</v>
      </c>
      <c r="C20" s="5" t="str">
        <f t="shared" si="6"/>
        <v>Mardi</v>
      </c>
      <c r="D20" s="6" t="str">
        <f t="shared" ref="D20:D31" si="11">DAY(L20)&amp;" "&amp;CHOOSE(MONTH(L20),"Janvier","Février","mars","avril","mai","juin","Juillet","Août","Septembre","Octobre","Novembre","Décembre")</f>
        <v>6 Juillet</v>
      </c>
      <c r="E20" s="7" t="str">
        <f t="shared" si="7"/>
        <v>10 h 30</v>
      </c>
      <c r="F20" s="8"/>
      <c r="G20" s="9">
        <v>2</v>
      </c>
      <c r="H20" s="9">
        <f t="shared" si="4"/>
        <v>38</v>
      </c>
      <c r="I20" s="13" t="s">
        <v>25</v>
      </c>
      <c r="J20" s="9" t="s">
        <v>18</v>
      </c>
      <c r="K20" s="13"/>
      <c r="L20" s="7">
        <f t="shared" si="8"/>
        <v>44383</v>
      </c>
      <c r="M20" s="19" t="str">
        <f t="shared" si="2"/>
        <v>Séance 19 (6 Juillet) : Préparer</v>
      </c>
    </row>
    <row r="21" spans="1:13" ht="33" customHeight="1" x14ac:dyDescent="0.25">
      <c r="A21" s="4">
        <f t="shared" si="5"/>
        <v>10</v>
      </c>
      <c r="B21" s="4">
        <f t="shared" si="0"/>
        <v>20</v>
      </c>
      <c r="C21" s="5" t="str">
        <f t="shared" si="6"/>
        <v>Mercredi</v>
      </c>
      <c r="D21" s="6" t="str">
        <f t="shared" si="11"/>
        <v>7 Juillet</v>
      </c>
      <c r="E21" s="7" t="str">
        <f t="shared" si="7"/>
        <v>13 h 30</v>
      </c>
      <c r="F21" s="8"/>
      <c r="G21" s="9">
        <v>2</v>
      </c>
      <c r="H21" s="9">
        <f t="shared" si="4"/>
        <v>40</v>
      </c>
      <c r="I21" s="13" t="s">
        <v>25</v>
      </c>
      <c r="J21" s="9" t="s">
        <v>18</v>
      </c>
      <c r="K21" s="13"/>
      <c r="L21" s="7">
        <f t="shared" si="8"/>
        <v>44384</v>
      </c>
      <c r="M21" s="19" t="str">
        <f t="shared" si="2"/>
        <v>Séance 20 (7 Juillet) : Préparer</v>
      </c>
    </row>
    <row r="22" spans="1:13" ht="33" customHeight="1" x14ac:dyDescent="0.25">
      <c r="A22" s="4">
        <f t="shared" si="5"/>
        <v>11</v>
      </c>
      <c r="B22" s="4">
        <f t="shared" si="0"/>
        <v>21</v>
      </c>
      <c r="C22" s="5" t="str">
        <f t="shared" si="6"/>
        <v>Mardi</v>
      </c>
      <c r="D22" s="6" t="str">
        <f t="shared" si="11"/>
        <v>13 Juillet</v>
      </c>
      <c r="E22" s="7" t="str">
        <f t="shared" si="7"/>
        <v>10 h 30</v>
      </c>
      <c r="F22" s="8"/>
      <c r="G22" s="9">
        <v>2</v>
      </c>
      <c r="H22" s="9">
        <f t="shared" si="4"/>
        <v>42</v>
      </c>
      <c r="I22" s="13" t="s">
        <v>25</v>
      </c>
      <c r="J22" s="9" t="s">
        <v>18</v>
      </c>
      <c r="K22" s="13"/>
      <c r="L22" s="7">
        <f t="shared" si="8"/>
        <v>44390</v>
      </c>
      <c r="M22" s="19" t="str">
        <f t="shared" si="2"/>
        <v>Séance 21 (13 Juillet) : Préparer</v>
      </c>
    </row>
    <row r="23" spans="1:13" ht="33" customHeight="1" x14ac:dyDescent="0.25">
      <c r="A23" s="4">
        <f t="shared" si="5"/>
        <v>11</v>
      </c>
      <c r="B23" s="4">
        <f t="shared" si="0"/>
        <v>22</v>
      </c>
      <c r="C23" s="5" t="str">
        <f t="shared" si="6"/>
        <v>Mercredi</v>
      </c>
      <c r="D23" s="6" t="str">
        <f t="shared" si="11"/>
        <v>14 Juillet</v>
      </c>
      <c r="E23" s="7" t="str">
        <f t="shared" si="7"/>
        <v>13 h 30</v>
      </c>
      <c r="F23" s="8"/>
      <c r="G23" s="9">
        <v>2</v>
      </c>
      <c r="H23" s="9">
        <f t="shared" si="4"/>
        <v>44</v>
      </c>
      <c r="I23" s="13" t="s">
        <v>25</v>
      </c>
      <c r="J23" s="9" t="s">
        <v>27</v>
      </c>
      <c r="K23" s="13"/>
      <c r="L23" s="7">
        <f t="shared" si="8"/>
        <v>44391</v>
      </c>
      <c r="M23" s="19" t="str">
        <f t="shared" si="2"/>
        <v>Séance 22 (14 Juillet) : Préparer</v>
      </c>
    </row>
    <row r="24" spans="1:13" ht="33" customHeight="1" x14ac:dyDescent="0.25">
      <c r="A24" s="4">
        <f t="shared" si="5"/>
        <v>12</v>
      </c>
      <c r="B24" s="4">
        <f t="shared" si="0"/>
        <v>23</v>
      </c>
      <c r="C24" s="5" t="str">
        <f>C22</f>
        <v>Mardi</v>
      </c>
      <c r="D24" s="6" t="str">
        <f t="shared" si="11"/>
        <v>20 Juillet</v>
      </c>
      <c r="E24" s="7" t="str">
        <f t="shared" si="7"/>
        <v>10 h 30</v>
      </c>
      <c r="F24" s="8"/>
      <c r="G24" s="9">
        <v>2</v>
      </c>
      <c r="H24" s="9">
        <f t="shared" si="4"/>
        <v>46</v>
      </c>
      <c r="I24" s="13" t="s">
        <v>25</v>
      </c>
      <c r="J24" s="9" t="s">
        <v>18</v>
      </c>
      <c r="K24" s="13"/>
      <c r="L24" s="7">
        <f t="shared" si="8"/>
        <v>44397</v>
      </c>
      <c r="M24" s="19" t="str">
        <f t="shared" si="2"/>
        <v>Séance 23 (20 Juillet) : Préparer</v>
      </c>
    </row>
    <row r="25" spans="1:13" ht="33" customHeight="1" x14ac:dyDescent="0.25">
      <c r="A25" s="4">
        <f t="shared" si="5"/>
        <v>12</v>
      </c>
      <c r="B25" s="4">
        <f t="shared" si="0"/>
        <v>24</v>
      </c>
      <c r="C25" s="5" t="str">
        <f t="shared" si="6"/>
        <v>Mercredi</v>
      </c>
      <c r="D25" s="6" t="str">
        <f t="shared" si="11"/>
        <v>21 Juillet</v>
      </c>
      <c r="E25" s="7" t="str">
        <f t="shared" si="7"/>
        <v>13 h 30</v>
      </c>
      <c r="F25" s="8"/>
      <c r="G25" s="9">
        <v>2</v>
      </c>
      <c r="H25" s="9">
        <f t="shared" si="4"/>
        <v>48</v>
      </c>
      <c r="I25" s="13" t="s">
        <v>25</v>
      </c>
      <c r="J25" s="9" t="s">
        <v>18</v>
      </c>
      <c r="K25" s="13"/>
      <c r="L25" s="7">
        <f t="shared" si="8"/>
        <v>44398</v>
      </c>
      <c r="M25" s="19" t="str">
        <f t="shared" si="2"/>
        <v>Séance 24 (21 Juillet) : Préparer</v>
      </c>
    </row>
    <row r="26" spans="1:13" ht="33" customHeight="1" x14ac:dyDescent="0.25">
      <c r="A26" s="4">
        <f t="shared" si="5"/>
        <v>13</v>
      </c>
      <c r="B26" s="4">
        <f t="shared" si="0"/>
        <v>25</v>
      </c>
      <c r="C26" s="5" t="str">
        <f t="shared" si="6"/>
        <v>Mardi</v>
      </c>
      <c r="D26" s="6" t="str">
        <f t="shared" si="11"/>
        <v>27 Juillet</v>
      </c>
      <c r="E26" s="7" t="str">
        <f t="shared" si="7"/>
        <v>10 h 30</v>
      </c>
      <c r="F26" s="8"/>
      <c r="G26" s="9">
        <v>2</v>
      </c>
      <c r="H26" s="9">
        <f t="shared" si="4"/>
        <v>50</v>
      </c>
      <c r="I26" s="13" t="s">
        <v>26</v>
      </c>
      <c r="J26" s="9" t="s">
        <v>18</v>
      </c>
      <c r="K26" s="13"/>
      <c r="L26" s="7">
        <f t="shared" si="8"/>
        <v>44404</v>
      </c>
      <c r="M26" s="19" t="str">
        <f t="shared" si="2"/>
        <v>Séance 25 (27 Juillet) : Préparer</v>
      </c>
    </row>
    <row r="27" spans="1:13" ht="33" customHeight="1" x14ac:dyDescent="0.25">
      <c r="A27" s="4">
        <f t="shared" si="5"/>
        <v>13</v>
      </c>
      <c r="B27" s="4">
        <f t="shared" si="0"/>
        <v>26</v>
      </c>
      <c r="C27" s="5" t="str">
        <f t="shared" si="6"/>
        <v>Mercredi</v>
      </c>
      <c r="D27" s="6" t="str">
        <f t="shared" si="11"/>
        <v>28 Juillet</v>
      </c>
      <c r="E27" s="7" t="str">
        <f>E23</f>
        <v>13 h 30</v>
      </c>
      <c r="F27" s="8"/>
      <c r="G27" s="9">
        <v>2</v>
      </c>
      <c r="H27" s="9">
        <f t="shared" si="4"/>
        <v>52</v>
      </c>
      <c r="I27" s="13" t="s">
        <v>26</v>
      </c>
      <c r="J27" s="9" t="s">
        <v>18</v>
      </c>
      <c r="K27" s="13"/>
      <c r="L27" s="7">
        <f t="shared" si="8"/>
        <v>44405</v>
      </c>
      <c r="M27" s="19" t="str">
        <f t="shared" si="2"/>
        <v>Séance 26 (28 Juillet) : Préparer</v>
      </c>
    </row>
    <row r="28" spans="1:13" ht="33" customHeight="1" x14ac:dyDescent="0.25">
      <c r="A28" s="4">
        <f t="shared" si="5"/>
        <v>14</v>
      </c>
      <c r="B28" s="4">
        <f t="shared" si="0"/>
        <v>27</v>
      </c>
      <c r="C28" s="5" t="str">
        <f t="shared" si="6"/>
        <v>Mardi</v>
      </c>
      <c r="D28" s="6" t="str">
        <f t="shared" si="11"/>
        <v>3 Août</v>
      </c>
      <c r="E28" s="7" t="str">
        <f t="shared" si="7"/>
        <v>10 h 30</v>
      </c>
      <c r="F28" s="8"/>
      <c r="G28" s="9">
        <v>2</v>
      </c>
      <c r="H28" s="9">
        <f t="shared" si="4"/>
        <v>54</v>
      </c>
      <c r="I28" s="13" t="s">
        <v>26</v>
      </c>
      <c r="J28" s="9" t="s">
        <v>18</v>
      </c>
      <c r="K28" s="13"/>
      <c r="L28" s="7">
        <f t="shared" si="8"/>
        <v>44411</v>
      </c>
      <c r="M28" s="19" t="str">
        <f t="shared" si="2"/>
        <v>Séance 27 (3 Août) : Préparer</v>
      </c>
    </row>
    <row r="29" spans="1:13" ht="33" customHeight="1" x14ac:dyDescent="0.25">
      <c r="A29" s="4">
        <f t="shared" si="5"/>
        <v>14</v>
      </c>
      <c r="B29" s="4">
        <f t="shared" si="0"/>
        <v>28</v>
      </c>
      <c r="C29" s="5" t="str">
        <f t="shared" si="6"/>
        <v>Mercredi</v>
      </c>
      <c r="D29" s="6" t="str">
        <f t="shared" si="11"/>
        <v>4 Août</v>
      </c>
      <c r="E29" s="7" t="str">
        <f t="shared" si="7"/>
        <v>13 h 30</v>
      </c>
      <c r="F29" s="8"/>
      <c r="G29" s="9">
        <v>2</v>
      </c>
      <c r="H29" s="9">
        <f t="shared" si="4"/>
        <v>56</v>
      </c>
      <c r="I29" s="13" t="s">
        <v>26</v>
      </c>
      <c r="J29" s="9" t="s">
        <v>28</v>
      </c>
      <c r="K29" s="13"/>
      <c r="L29" s="7">
        <f t="shared" si="8"/>
        <v>44412</v>
      </c>
      <c r="M29" s="19" t="str">
        <f t="shared" si="2"/>
        <v>Séance 28 (4 Août) : Préparer</v>
      </c>
    </row>
    <row r="30" spans="1:13" ht="33" customHeight="1" x14ac:dyDescent="0.25">
      <c r="A30" s="4">
        <f t="shared" si="5"/>
        <v>15</v>
      </c>
      <c r="B30" s="4">
        <f t="shared" si="0"/>
        <v>29</v>
      </c>
      <c r="C30" s="5" t="str">
        <f t="shared" si="6"/>
        <v>Mardi</v>
      </c>
      <c r="D30" s="6" t="str">
        <f t="shared" si="11"/>
        <v>10 Août</v>
      </c>
      <c r="E30" s="7" t="str">
        <f t="shared" si="7"/>
        <v>10 h 30</v>
      </c>
      <c r="F30" s="8"/>
      <c r="G30" s="9">
        <v>2</v>
      </c>
      <c r="H30" s="9">
        <f t="shared" si="4"/>
        <v>58</v>
      </c>
      <c r="I30" s="9" t="s">
        <v>18</v>
      </c>
      <c r="J30" s="9"/>
      <c r="K30" s="13"/>
      <c r="L30" s="7">
        <f t="shared" si="8"/>
        <v>44418</v>
      </c>
      <c r="M30" s="19" t="str">
        <f t="shared" si="2"/>
        <v>Séance 29 (10 Août) : Préparer</v>
      </c>
    </row>
    <row r="31" spans="1:13" ht="33" customHeight="1" x14ac:dyDescent="0.25">
      <c r="A31" s="4">
        <f t="shared" si="5"/>
        <v>15</v>
      </c>
      <c r="B31" s="4">
        <f t="shared" si="0"/>
        <v>30</v>
      </c>
      <c r="C31" s="5" t="str">
        <f t="shared" si="6"/>
        <v>Mercredi</v>
      </c>
      <c r="D31" s="6" t="str">
        <f t="shared" si="11"/>
        <v>11 Août</v>
      </c>
      <c r="E31" s="7" t="str">
        <f t="shared" si="7"/>
        <v>13 h 30</v>
      </c>
      <c r="F31" s="8"/>
      <c r="G31" s="9">
        <v>2</v>
      </c>
      <c r="H31" s="9">
        <f t="shared" si="4"/>
        <v>60</v>
      </c>
      <c r="I31" s="9" t="s">
        <v>18</v>
      </c>
      <c r="J31" s="9"/>
      <c r="K31" s="13"/>
      <c r="L31" s="7">
        <f t="shared" si="8"/>
        <v>44419</v>
      </c>
      <c r="M31" s="19" t="str">
        <f t="shared" si="2"/>
        <v>Séance 30 (11 Août) : Préparer</v>
      </c>
    </row>
    <row r="32" spans="1:13" ht="33" customHeight="1" x14ac:dyDescent="0.25">
      <c r="A32" s="4">
        <f t="shared" si="5"/>
        <v>16</v>
      </c>
      <c r="B32" s="4">
        <f t="shared" si="0"/>
        <v>31</v>
      </c>
      <c r="C32" s="5" t="str">
        <f t="shared" si="6"/>
        <v>Mardi</v>
      </c>
      <c r="D32" s="6" t="str">
        <f t="shared" ref="D32:D33" si="12">DAY(L32)&amp;" "&amp;CHOOSE(MONTH(L32),"Janvier","Février","mars","avril","mai","juin","Juillet","Août","Septembre","Octobre","Novembre","Décembre")</f>
        <v>17 Août</v>
      </c>
      <c r="E32" s="7" t="str">
        <f t="shared" si="7"/>
        <v>10 h 30</v>
      </c>
      <c r="F32" s="8"/>
      <c r="G32" s="9">
        <v>2</v>
      </c>
      <c r="H32" s="9">
        <f t="shared" ref="H32:H33" si="13">H31+G32</f>
        <v>62</v>
      </c>
      <c r="I32" s="9" t="s">
        <v>18</v>
      </c>
      <c r="J32" s="9"/>
      <c r="K32" s="13"/>
      <c r="L32" s="7">
        <f t="shared" si="8"/>
        <v>44425</v>
      </c>
      <c r="M32" s="19" t="str">
        <f t="shared" si="2"/>
        <v>Séance 31 (17 Août) : Préparer</v>
      </c>
    </row>
    <row r="33" spans="1:13" ht="33" customHeight="1" x14ac:dyDescent="0.25">
      <c r="A33" s="4">
        <f t="shared" si="5"/>
        <v>16</v>
      </c>
      <c r="B33" s="4">
        <f t="shared" si="0"/>
        <v>32</v>
      </c>
      <c r="C33" s="5" t="str">
        <f t="shared" si="6"/>
        <v>Mercredi</v>
      </c>
      <c r="D33" s="6" t="str">
        <f t="shared" si="12"/>
        <v>18 Août</v>
      </c>
      <c r="E33" s="7" t="str">
        <f t="shared" si="7"/>
        <v>13 h 30</v>
      </c>
      <c r="F33" s="8"/>
      <c r="G33" s="9">
        <v>2</v>
      </c>
      <c r="H33" s="9">
        <f t="shared" si="13"/>
        <v>64</v>
      </c>
      <c r="I33" s="9" t="s">
        <v>18</v>
      </c>
      <c r="J33" s="9" t="s">
        <v>20</v>
      </c>
      <c r="K33" s="13"/>
      <c r="L33" s="7">
        <f t="shared" si="8"/>
        <v>44426</v>
      </c>
      <c r="M33" s="19" t="str">
        <f t="shared" si="2"/>
        <v>Séance 32 (18 Août) : Préparer</v>
      </c>
    </row>
    <row r="34" spans="1:13" ht="33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3" ht="33" customHeight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3" ht="33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3" ht="33" customHeight="1" x14ac:dyDescent="0.25">
      <c r="C37" s="11"/>
      <c r="D37" s="11"/>
      <c r="E37" s="11"/>
      <c r="F37" s="11"/>
      <c r="L37" s="11"/>
    </row>
    <row r="38" spans="1:13" ht="33" customHeight="1" x14ac:dyDescent="0.25">
      <c r="C38" s="11"/>
      <c r="D38" s="11"/>
      <c r="E38" s="11"/>
      <c r="F38" s="11"/>
      <c r="L38" s="11"/>
    </row>
    <row r="39" spans="1:13" ht="33" customHeight="1" x14ac:dyDescent="0.25">
      <c r="C39" s="11"/>
      <c r="D39" s="11"/>
      <c r="E39" s="11"/>
      <c r="F39" s="11"/>
      <c r="L39" s="11"/>
    </row>
    <row r="40" spans="1:13" ht="33" customHeight="1" x14ac:dyDescent="0.25">
      <c r="C40" s="11"/>
      <c r="D40" s="11"/>
      <c r="E40" s="11"/>
      <c r="F40" s="11"/>
      <c r="L40" s="11"/>
    </row>
    <row r="41" spans="1:13" ht="33" customHeight="1" x14ac:dyDescent="0.25">
      <c r="C41" s="11"/>
      <c r="D41" s="11"/>
      <c r="E41" s="11"/>
      <c r="F41" s="11"/>
      <c r="L41" s="11"/>
    </row>
    <row r="42" spans="1:13" ht="33" customHeight="1" x14ac:dyDescent="0.25">
      <c r="C42" s="11"/>
      <c r="D42" s="11"/>
      <c r="E42" s="11"/>
      <c r="F42" s="11"/>
      <c r="L42" s="11"/>
    </row>
    <row r="43" spans="1:13" ht="33" customHeight="1" x14ac:dyDescent="0.25">
      <c r="C43" s="11"/>
      <c r="D43" s="11"/>
      <c r="E43" s="11"/>
      <c r="F43" s="11"/>
      <c r="L43" s="11"/>
    </row>
    <row r="44" spans="1:13" ht="33" customHeight="1" x14ac:dyDescent="0.25">
      <c r="C44" s="11"/>
      <c r="D44" s="11"/>
      <c r="E44" s="11"/>
      <c r="F44" s="11"/>
      <c r="L44" s="11"/>
    </row>
    <row r="45" spans="1:13" ht="33" customHeight="1" x14ac:dyDescent="0.25">
      <c r="C45" s="11"/>
      <c r="D45" s="11"/>
      <c r="E45" s="11"/>
      <c r="F45" s="11"/>
      <c r="L45" s="11"/>
    </row>
    <row r="46" spans="1:13" ht="33" customHeight="1" x14ac:dyDescent="0.25">
      <c r="C46" s="11"/>
      <c r="D46" s="11"/>
      <c r="E46" s="11"/>
      <c r="F46" s="11"/>
      <c r="L46" s="11"/>
    </row>
    <row r="47" spans="1:13" ht="33" customHeight="1" x14ac:dyDescent="0.25">
      <c r="C47" s="11"/>
      <c r="D47" s="11"/>
      <c r="E47" s="11"/>
      <c r="F47" s="11"/>
      <c r="L47" s="11"/>
    </row>
    <row r="48" spans="1:13" ht="33" customHeight="1" x14ac:dyDescent="0.25">
      <c r="C48" s="11"/>
      <c r="D48" s="11"/>
      <c r="E48" s="11"/>
      <c r="F48" s="11"/>
      <c r="L48" s="11"/>
    </row>
    <row r="49" spans="3:12" ht="33" customHeight="1" x14ac:dyDescent="0.25">
      <c r="C49" s="11"/>
      <c r="D49" s="11"/>
      <c r="E49" s="11"/>
      <c r="F49" s="11"/>
      <c r="L49" s="11"/>
    </row>
    <row r="50" spans="3:12" ht="33" customHeight="1" x14ac:dyDescent="0.25">
      <c r="C50" s="11"/>
      <c r="D50" s="11"/>
      <c r="E50" s="11"/>
      <c r="F50" s="11"/>
      <c r="L50" s="11"/>
    </row>
    <row r="51" spans="3:12" ht="33" customHeight="1" x14ac:dyDescent="0.25">
      <c r="C51" s="11"/>
      <c r="D51" s="11"/>
      <c r="E51" s="11"/>
      <c r="F51" s="11"/>
      <c r="L51" s="11"/>
    </row>
    <row r="52" spans="3:12" ht="33" customHeight="1" x14ac:dyDescent="0.25">
      <c r="C52" s="11"/>
      <c r="D52" s="11"/>
      <c r="E52" s="11"/>
      <c r="F52" s="11"/>
      <c r="L52" s="11"/>
    </row>
    <row r="53" spans="3:12" ht="33" customHeight="1" x14ac:dyDescent="0.25">
      <c r="C53" s="11"/>
      <c r="D53" s="11"/>
      <c r="E53" s="11"/>
      <c r="F53" s="11"/>
      <c r="L53" s="11"/>
    </row>
    <row r="54" spans="3:12" ht="33" customHeight="1" x14ac:dyDescent="0.25">
      <c r="C54" s="11"/>
      <c r="D54" s="11"/>
      <c r="E54" s="11"/>
      <c r="F54" s="11"/>
      <c r="L54" s="11"/>
    </row>
    <row r="55" spans="3:12" ht="33" customHeight="1" x14ac:dyDescent="0.25">
      <c r="C55" s="11"/>
      <c r="D55" s="11"/>
      <c r="E55" s="11"/>
      <c r="F55" s="11"/>
      <c r="L55" s="11"/>
    </row>
    <row r="56" spans="3:12" ht="33" customHeight="1" x14ac:dyDescent="0.25">
      <c r="C56" s="11"/>
      <c r="D56" s="11"/>
      <c r="E56" s="11"/>
      <c r="F56" s="11"/>
      <c r="L56" s="11"/>
    </row>
    <row r="57" spans="3:12" ht="33" customHeight="1" x14ac:dyDescent="0.25">
      <c r="C57" s="11"/>
      <c r="D57" s="11"/>
      <c r="E57" s="11"/>
      <c r="F57" s="11"/>
      <c r="L57" s="11"/>
    </row>
    <row r="58" spans="3:12" ht="33" customHeight="1" x14ac:dyDescent="0.25">
      <c r="C58" s="11"/>
      <c r="D58" s="11"/>
      <c r="E58" s="11"/>
      <c r="F58" s="11"/>
      <c r="L58" s="11"/>
    </row>
    <row r="59" spans="3:12" ht="33" customHeight="1" x14ac:dyDescent="0.25">
      <c r="C59" s="11"/>
      <c r="D59" s="11"/>
      <c r="E59" s="11"/>
      <c r="F59" s="11"/>
      <c r="L59" s="11"/>
    </row>
    <row r="60" spans="3:12" ht="33" customHeight="1" x14ac:dyDescent="0.25">
      <c r="C60" s="11"/>
      <c r="D60" s="11"/>
      <c r="E60" s="11"/>
      <c r="F60" s="11"/>
      <c r="L60" s="11"/>
    </row>
    <row r="61" spans="3:12" ht="33" customHeight="1" x14ac:dyDescent="0.25">
      <c r="C61" s="11"/>
      <c r="D61" s="11"/>
      <c r="E61" s="11"/>
      <c r="F61" s="11"/>
      <c r="L61" s="11"/>
    </row>
    <row r="62" spans="3:12" ht="33" customHeight="1" x14ac:dyDescent="0.25">
      <c r="C62" s="11"/>
      <c r="D62" s="11"/>
      <c r="E62" s="11"/>
      <c r="F62" s="11"/>
      <c r="L62" s="11"/>
    </row>
    <row r="63" spans="3:12" ht="33" customHeight="1" x14ac:dyDescent="0.25">
      <c r="C63" s="11"/>
      <c r="D63" s="11"/>
      <c r="E63" s="11"/>
      <c r="F63" s="11"/>
      <c r="L63" s="11"/>
    </row>
    <row r="64" spans="3:12" ht="33" customHeight="1" x14ac:dyDescent="0.25">
      <c r="C64" s="11"/>
      <c r="D64" s="11"/>
      <c r="E64" s="11"/>
      <c r="F64" s="11"/>
      <c r="L64" s="11"/>
    </row>
    <row r="65" spans="3:12" ht="33" customHeight="1" x14ac:dyDescent="0.25">
      <c r="C65" s="11"/>
      <c r="D65" s="11"/>
      <c r="E65" s="11"/>
      <c r="F65" s="11"/>
      <c r="L65" s="11"/>
    </row>
    <row r="66" spans="3:12" ht="33" customHeight="1" x14ac:dyDescent="0.25">
      <c r="C66" s="11"/>
      <c r="D66" s="11"/>
      <c r="E66" s="11"/>
      <c r="F66" s="11"/>
      <c r="L66" s="11"/>
    </row>
    <row r="67" spans="3:12" ht="33" customHeight="1" x14ac:dyDescent="0.25">
      <c r="C67" s="11"/>
      <c r="D67" s="11"/>
      <c r="E67" s="11"/>
      <c r="F67" s="11"/>
      <c r="L67" s="11"/>
    </row>
    <row r="68" spans="3:12" ht="33" customHeight="1" x14ac:dyDescent="0.25">
      <c r="C68" s="11"/>
      <c r="D68" s="11"/>
      <c r="E68" s="11"/>
      <c r="F68" s="11"/>
      <c r="L68" s="11"/>
    </row>
    <row r="69" spans="3:12" ht="33" customHeight="1" x14ac:dyDescent="0.25">
      <c r="C69" s="11"/>
      <c r="D69" s="11"/>
      <c r="E69" s="11"/>
      <c r="F69" s="11"/>
      <c r="L69" s="11"/>
    </row>
    <row r="70" spans="3:12" ht="33" customHeight="1" x14ac:dyDescent="0.25">
      <c r="C70" s="11"/>
      <c r="D70" s="11"/>
      <c r="E70" s="11"/>
      <c r="F70" s="11"/>
      <c r="L70" s="11"/>
    </row>
    <row r="71" spans="3:12" ht="33" customHeight="1" x14ac:dyDescent="0.25">
      <c r="C71" s="11"/>
      <c r="D71" s="11"/>
      <c r="E71" s="11"/>
      <c r="F71" s="11"/>
      <c r="L71" s="11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ColWidth="11.5546875" defaultRowHeight="18.75" customHeight="1" x14ac:dyDescent="0.25"/>
  <cols>
    <col min="1" max="1" width="36" style="3" bestFit="1" customWidth="1"/>
    <col min="2" max="2" width="11.5546875" style="3"/>
    <col min="3" max="3" width="12.88671875" style="3" bestFit="1" customWidth="1"/>
    <col min="4" max="16384" width="11.5546875" style="3"/>
  </cols>
  <sheetData>
    <row r="1" spans="1:3" ht="18.75" customHeight="1" x14ac:dyDescent="0.25">
      <c r="A1" s="15" t="s">
        <v>8</v>
      </c>
      <c r="B1" s="15" t="s">
        <v>12</v>
      </c>
      <c r="C1" s="15" t="s">
        <v>13</v>
      </c>
    </row>
    <row r="2" spans="1:3" ht="18.75" customHeight="1" x14ac:dyDescent="0.25">
      <c r="A2" s="16"/>
      <c r="B2" s="14"/>
      <c r="C2" s="18"/>
    </row>
    <row r="3" spans="1:3" ht="18.75" customHeight="1" x14ac:dyDescent="0.25">
      <c r="A3" s="16"/>
      <c r="B3" s="14"/>
      <c r="C3" s="18"/>
    </row>
    <row r="4" spans="1:3" ht="18.75" customHeight="1" x14ac:dyDescent="0.25">
      <c r="A4" s="16"/>
      <c r="B4" s="14"/>
      <c r="C4" s="18"/>
    </row>
    <row r="5" spans="1:3" ht="18.75" customHeight="1" x14ac:dyDescent="0.25">
      <c r="A5" s="16"/>
      <c r="B5" s="14"/>
      <c r="C5" s="18"/>
    </row>
    <row r="6" spans="1:3" ht="18.75" customHeight="1" x14ac:dyDescent="0.25">
      <c r="A6" s="16"/>
      <c r="B6" s="14"/>
      <c r="C6" s="18"/>
    </row>
    <row r="7" spans="1:3" ht="18.75" customHeight="1" x14ac:dyDescent="0.25">
      <c r="A7" s="16"/>
      <c r="B7" s="14"/>
      <c r="C7" s="18"/>
    </row>
    <row r="8" spans="1:3" ht="18.75" customHeight="1" x14ac:dyDescent="0.25">
      <c r="A8" s="16"/>
      <c r="B8" s="14"/>
      <c r="C8" s="18"/>
    </row>
    <row r="9" spans="1:3" ht="18.75" customHeight="1" x14ac:dyDescent="0.25">
      <c r="A9" s="16"/>
      <c r="B9" s="14"/>
      <c r="C9" s="18"/>
    </row>
    <row r="10" spans="1:3" ht="18.75" customHeight="1" x14ac:dyDescent="0.25">
      <c r="A10" s="16"/>
      <c r="B10" s="14"/>
      <c r="C10" s="18"/>
    </row>
    <row r="11" spans="1:3" ht="18.75" customHeight="1" x14ac:dyDescent="0.25">
      <c r="A11" s="17"/>
      <c r="B11" s="14"/>
      <c r="C11" s="18"/>
    </row>
    <row r="12" spans="1:3" ht="18.75" customHeight="1" x14ac:dyDescent="0.25">
      <c r="A12" s="17"/>
      <c r="B12" s="14"/>
      <c r="C12" s="18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Horaire</vt:lpstr>
      <vt:lpstr>Horaire (2021)</vt:lpstr>
      <vt:lpstr>Contenu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cp:lastPrinted>2019-09-08T15:04:57Z</cp:lastPrinted>
  <dcterms:created xsi:type="dcterms:W3CDTF">2017-03-08T13:57:07Z</dcterms:created>
  <dcterms:modified xsi:type="dcterms:W3CDTF">2024-07-09T00:51:00Z</dcterms:modified>
</cp:coreProperties>
</file>